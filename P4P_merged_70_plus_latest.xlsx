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20" yWindow="1860" windowWidth="27640" windowHeight="16940" tabRatio="600" firstSheet="0" activeTab="0" autoFilterDateGrouping="1"/>
  </bookViews>
  <sheets>
    <sheet xmlns:r="http://schemas.openxmlformats.org/officeDocument/2006/relationships" name="หัวหน้า" sheetId="1" state="visible" r:id="rId1"/>
    <sheet xmlns:r="http://schemas.openxmlformats.org/officeDocument/2006/relationships" name="สัญญาบัตร ป.ตรี" sheetId="2" state="visible" r:id="rId2"/>
    <sheet xmlns:r="http://schemas.openxmlformats.org/officeDocument/2006/relationships" name="ประทวน TN" sheetId="3" state="visible" r:id="rId3"/>
    <sheet xmlns:r="http://schemas.openxmlformats.org/officeDocument/2006/relationships" name="พนักงาน" sheetId="4" state="visible" r:id="rId4"/>
    <sheet xmlns:r="http://schemas.openxmlformats.org/officeDocument/2006/relationships" name="บันทึกการเปลี่ยนแปลง" sheetId="5" state="visible" r:id="rId5"/>
  </sheets>
  <definedNames>
    <definedName name="_xlnm.Print_Titles" localSheetId="0">'หัวหน้า'!$4:$6</definedName>
    <definedName name="_xlnm.Print_Titles" localSheetId="1">'สัญญาบัตร ป.ตรี'!$4:$5</definedName>
    <definedName name="_xlnm.Print_Titles" localSheetId="2">'ประทวน TN'!$4:$5</definedName>
    <definedName name="_xlnm.Print_Titles" localSheetId="3">'พนักงาน'!$4:$5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฿-41E]#,##0.00"/>
  </numFmts>
  <fonts count="33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TH SarabunPSK"/>
      <family val="2"/>
      <b val="1"/>
      <sz val="16"/>
    </font>
    <font>
      <name val="TH SarabunPSK"/>
      <family val="2"/>
      <b val="1"/>
      <color rgb="FFFF0000"/>
      <sz val="16"/>
    </font>
    <font>
      <name val="TH SarabunPSK"/>
      <family val="2"/>
      <color theme="1"/>
      <sz val="16"/>
    </font>
    <font>
      <name val="TH SarabunPSK"/>
      <family val="2"/>
      <b val="1"/>
      <color theme="1"/>
      <sz val="16"/>
    </font>
    <font>
      <name val="TH SarabunPSK"/>
      <family val="2"/>
      <b val="1"/>
      <color theme="0"/>
      <sz val="16"/>
    </font>
    <font>
      <name val="TH SarabunPSK"/>
      <family val="2"/>
      <color rgb="FFFF0000"/>
      <sz val="16"/>
    </font>
    <font>
      <name val="TH SarabunPSK"/>
      <family val="2"/>
      <b val="1"/>
      <color indexed="8"/>
      <sz val="16"/>
    </font>
    <font>
      <name val="TH SarabunPSK"/>
      <family val="2"/>
      <color indexed="8"/>
      <sz val="16"/>
    </font>
    <font>
      <name val="TH SarabunPSK"/>
      <family val="2"/>
      <sz val="16"/>
    </font>
    <font>
      <name val="TH SarabunPSK"/>
      <family val="2"/>
      <color theme="0"/>
      <sz val="16"/>
    </font>
    <font>
      <name val="Arial"/>
      <family val="2"/>
      <color theme="1"/>
      <sz val="10"/>
    </font>
    <font>
      <name val="TH SarabunPSK"/>
      <family val="2"/>
      <sz val="14"/>
    </font>
    <font>
      <name val="TH SarabunPSK"/>
      <family val="2"/>
      <color rgb="FF000000"/>
      <sz val="16"/>
    </font>
    <font>
      <name val="TH SarabunPSK"/>
      <family val="2"/>
      <b val="1"/>
      <color rgb="FF000000"/>
      <sz val="16"/>
    </font>
    <font>
      <name val="Calibri"/>
      <family val="2"/>
      <color theme="1"/>
      <sz val="11"/>
      <scheme val="minor"/>
    </font>
    <font>
      <name val="TH SarabunPSK"/>
      <family val="2"/>
      <b val="1"/>
      <color rgb="FF00B050"/>
      <sz val="16"/>
    </font>
    <font>
      <name val="Cordia New"/>
      <family val="2"/>
      <sz val="14"/>
    </font>
    <font>
      <name val="TH SarabunPSK"/>
      <family val="2"/>
      <sz val="11"/>
    </font>
    <font>
      <name val="TH SarabunPSK"/>
      <family val="2"/>
      <color theme="1"/>
      <sz val="11"/>
    </font>
    <font>
      <name val="Arial"/>
      <family val="2"/>
      <sz val="10"/>
    </font>
    <font>
      <name val="TH SarabunPSK"/>
      <family val="2"/>
      <color theme="1"/>
      <sz val="16"/>
      <u val="single"/>
    </font>
    <font>
      <name val="TH SarabunPSK"/>
      <family val="2"/>
      <sz val="10"/>
    </font>
    <font>
      <name val="TH SarabunPSK"/>
      <family val="2"/>
      <b val="1"/>
      <color indexed="10"/>
      <sz val="16"/>
    </font>
    <font>
      <name val="TH SarabunPSK"/>
      <family val="2"/>
      <sz val="12"/>
    </font>
    <font>
      <name val="TH SarabunPSK"/>
      <family val="2"/>
      <color rgb="FF000000"/>
      <sz val="10"/>
    </font>
    <font>
      <name val="Calibri"/>
      <charset val="222"/>
      <family val="2"/>
      <color rgb="FFFF0000"/>
      <sz val="11"/>
    </font>
    <font>
      <name val="TH SarabunPSK"/>
      <b val="1"/>
      <sz val="18"/>
    </font>
    <font>
      <name val="TH SarabunPSK"/>
      <sz val="14"/>
    </font>
    <font>
      <name val="TH SarabunPSK"/>
      <b val="1"/>
      <sz val="16"/>
    </font>
    <font>
      <name val="TH SarabunPSK"/>
      <b val="1"/>
      <color rgb="FFFF0000"/>
      <sz val="14"/>
    </font>
    <font>
      <name val="TH SarabunPSK"/>
      <b val="1"/>
      <sz val="14"/>
    </font>
  </fonts>
  <fills count="2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0589B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EAD1DC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"/>
        <bgColor rgb="FFF7CAAC"/>
      </patternFill>
    </fill>
    <fill>
      <patternFill patternType="solid">
        <fgColor rgb="FFD9E1F2"/>
        <bgColor rgb="FFD9E1F2"/>
      </patternFill>
    </fill>
    <fill>
      <patternFill patternType="solid">
        <fgColor theme="8" tint="0.7999816888943144"/>
        <bgColor rgb="FFD9E1F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7E6E6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B050"/>
      </right>
      <top style="thin">
        <color indexed="64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indexed="64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B050"/>
      </right>
      <top style="thin">
        <color indexed="64"/>
      </top>
      <bottom/>
      <diagonal/>
    </border>
    <border>
      <left/>
      <right style="thin">
        <color rgb="FF00B050"/>
      </right>
      <top/>
      <bottom/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5">
    <xf numFmtId="0" fontId="1" fillId="0" borderId="0"/>
    <xf numFmtId="0" fontId="16" fillId="0" borderId="0"/>
    <xf numFmtId="0" fontId="18" fillId="0" borderId="0"/>
    <xf numFmtId="0" fontId="21" fillId="0" borderId="0"/>
    <xf numFmtId="0" fontId="1" fillId="0" borderId="0"/>
  </cellStyleXfs>
  <cellXfs count="800">
    <xf numFmtId="0" fontId="0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4" fillId="0" borderId="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" applyAlignment="1" pivotButton="0" quotePrefix="0" xfId="0">
      <alignment wrapText="1"/>
    </xf>
    <xf numFmtId="0" fontId="4" fillId="0" borderId="1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4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8" fillId="0" borderId="12" applyAlignment="1" applyProtection="1" pivotButton="0" quotePrefix="0" xfId="0">
      <alignment horizontal="center" vertical="center"/>
      <protection locked="0" hidden="0"/>
    </xf>
    <xf numFmtId="0" fontId="8" fillId="0" borderId="10" applyAlignment="1" applyProtection="1" pivotButton="0" quotePrefix="0" xfId="0">
      <alignment horizontal="center" vertical="center"/>
      <protection locked="0" hidden="0"/>
    </xf>
    <xf numFmtId="0" fontId="9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9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wrapText="1"/>
    </xf>
    <xf numFmtId="0" fontId="9" fillId="0" borderId="9" applyAlignment="1" applyProtection="1" pivotButton="0" quotePrefix="0" xfId="0">
      <alignment horizontal="center" vertical="center"/>
      <protection locked="0" hidden="0"/>
    </xf>
    <xf numFmtId="0" fontId="5" fillId="0" borderId="9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13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0" fontId="8" fillId="0" borderId="6" applyAlignment="1" pivotButton="0" quotePrefix="0" xfId="0">
      <alignment vertic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9" fillId="0" borderId="7" applyAlignment="1" applyProtection="1" pivotButton="0" quotePrefix="0" xfId="0">
      <alignment horizontal="center" vertical="center"/>
      <protection locked="0" hidden="0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 wrapText="1"/>
    </xf>
    <xf numFmtId="0" fontId="9" fillId="0" borderId="15" applyAlignment="1" applyProtection="1" pivotButton="0" quotePrefix="0" xfId="0">
      <alignment horizontal="center" vertical="center"/>
      <protection locked="0" hidden="0"/>
    </xf>
    <xf numFmtId="0" fontId="5" fillId="0" borderId="15" applyAlignment="1" pivotButton="0" quotePrefix="0" xfId="0">
      <alignment horizontal="center" vertical="center"/>
    </xf>
    <xf numFmtId="0" fontId="9" fillId="0" borderId="6" applyAlignment="1" pivotButton="0" quotePrefix="0" xfId="0">
      <alignment vertical="center"/>
    </xf>
    <xf numFmtId="0" fontId="9" fillId="0" borderId="7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8" fillId="4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10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 wrapText="1"/>
    </xf>
    <xf numFmtId="2" fontId="10" fillId="0" borderId="9" applyAlignment="1" pivotButton="0" quotePrefix="0" xfId="0">
      <alignment horizontal="center" vertical="center" wrapText="1"/>
    </xf>
    <xf numFmtId="0" fontId="5" fillId="0" borderId="6" applyAlignment="1" pivotButton="0" quotePrefix="0" xfId="0">
      <alignment vertical="center" wrapText="1"/>
    </xf>
    <xf numFmtId="0" fontId="4" fillId="0" borderId="6" pivotButton="0" quotePrefix="0" xfId="0"/>
    <xf numFmtId="0" fontId="4" fillId="0" borderId="7" pivotButton="0" quotePrefix="0" xfId="0"/>
    <xf numFmtId="0" fontId="8" fillId="0" borderId="7" applyAlignment="1" applyProtection="1" pivotButton="0" quotePrefix="0" xfId="0">
      <alignment horizontal="center" vertical="center"/>
      <protection locked="0" hidden="0"/>
    </xf>
    <xf numFmtId="0" fontId="8" fillId="0" borderId="8" applyAlignment="1" applyProtection="1" pivotButton="0" quotePrefix="0" xfId="0">
      <alignment horizontal="center" vertical="center"/>
      <protection locked="0" hidden="0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10" fillId="0" borderId="15" applyAlignment="1" pivotButton="0" quotePrefix="0" xfId="0">
      <alignment horizontal="center" vertical="top" wrapText="1"/>
    </xf>
    <xf numFmtId="0" fontId="10" fillId="0" borderId="15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0" fontId="2" fillId="4" borderId="6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1" fontId="10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vertical="center" wrapText="1"/>
    </xf>
    <xf numFmtId="0" fontId="9" fillId="0" borderId="8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1" fillId="0" borderId="0" pivotButton="0" quotePrefix="0" xfId="0"/>
    <xf numFmtId="0" fontId="4" fillId="0" borderId="9" applyAlignment="1" pivotButton="0" quotePrefix="0" xfId="0">
      <alignment horizontal="center"/>
    </xf>
    <xf numFmtId="0" fontId="10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wrapText="1"/>
    </xf>
    <xf numFmtId="0" fontId="12" fillId="0" borderId="11" applyAlignment="1" pivotButton="0" quotePrefix="0" xfId="0">
      <alignment wrapText="1"/>
    </xf>
    <xf numFmtId="0" fontId="12" fillId="0" borderId="12" applyAlignment="1" pivotButton="0" quotePrefix="0" xfId="0">
      <alignment wrapText="1"/>
    </xf>
    <xf numFmtId="0" fontId="4" fillId="0" borderId="12" applyAlignment="1" pivotButton="0" quotePrefix="0" xfId="0">
      <alignment horizontal="center"/>
    </xf>
    <xf numFmtId="0" fontId="5" fillId="6" borderId="6" applyAlignment="1" pivotButton="0" quotePrefix="0" xfId="0">
      <alignment wrapText="1"/>
    </xf>
    <xf numFmtId="0" fontId="12" fillId="0" borderId="6" applyAlignment="1" pivotButton="0" quotePrefix="0" xfId="0">
      <alignment wrapText="1"/>
    </xf>
    <xf numFmtId="0" fontId="12" fillId="0" borderId="7" applyAlignment="1" pivotButton="0" quotePrefix="0" xfId="0">
      <alignment wrapText="1"/>
    </xf>
    <xf numFmtId="0" fontId="4" fillId="0" borderId="16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/>
    </xf>
    <xf numFmtId="0" fontId="12" fillId="0" borderId="6" applyAlignment="1" pivotButton="0" quotePrefix="0" xfId="0">
      <alignment vertical="center" wrapText="1"/>
    </xf>
    <xf numFmtId="0" fontId="12" fillId="0" borderId="7" applyAlignment="1" pivotButton="0" quotePrefix="0" xfId="0">
      <alignment vertical="center" wrapText="1"/>
    </xf>
    <xf numFmtId="0" fontId="4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" fontId="10" fillId="0" borderId="15" applyAlignment="1" pivotButton="0" quotePrefix="0" xfId="0">
      <alignment horizontal="left" vertical="center" wrapText="1"/>
    </xf>
    <xf numFmtId="49" fontId="8" fillId="4" borderId="6" applyAlignment="1" applyProtection="1" pivotButton="0" quotePrefix="0" xfId="0">
      <alignment horizontal="center" vertical="center" wrapText="1"/>
      <protection locked="0" hidden="0"/>
    </xf>
    <xf numFmtId="0" fontId="9" fillId="0" borderId="6" applyAlignment="1" applyProtection="1" pivotButton="0" quotePrefix="0" xfId="0">
      <alignment horizontal="center" vertical="center" wrapText="1"/>
      <protection locked="0" hidden="0"/>
    </xf>
    <xf numFmtId="0" fontId="4" fillId="0" borderId="7" applyAlignment="1" applyProtection="1" pivotButton="0" quotePrefix="0" xfId="0">
      <alignment horizontal="center" vertical="center"/>
      <protection locked="0" hidden="0"/>
    </xf>
    <xf numFmtId="2" fontId="10" fillId="0" borderId="7" applyAlignment="1" applyProtection="1" pivotButton="0" quotePrefix="0" xfId="0">
      <alignment horizontal="center" vertical="center" wrapText="1"/>
      <protection locked="0" hidden="0"/>
    </xf>
    <xf numFmtId="1" fontId="10" fillId="0" borderId="9" applyAlignment="1" applyProtection="1" pivotButton="0" quotePrefix="0" xfId="0">
      <alignment horizontal="center" vertical="center" wrapText="1"/>
      <protection locked="0" hidden="0"/>
    </xf>
    <xf numFmtId="1" fontId="10" fillId="0" borderId="7" applyAlignment="1" applyProtection="1" pivotButton="0" quotePrefix="0" xfId="0">
      <alignment horizontal="center" vertical="center" wrapText="1"/>
      <protection locked="0" hidden="0"/>
    </xf>
    <xf numFmtId="0" fontId="4" fillId="0" borderId="15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center" vertical="center"/>
      <protection locked="0" hidden="0"/>
    </xf>
    <xf numFmtId="0" fontId="4" fillId="0" borderId="15" applyAlignment="1" pivotButton="0" quotePrefix="0" xfId="0">
      <alignment horizontal="center" vertical="top"/>
    </xf>
    <xf numFmtId="0" fontId="13" fillId="0" borderId="1" applyAlignment="1" pivotButton="0" quotePrefix="0" xfId="0">
      <alignment horizontal="center" vertical="top"/>
    </xf>
    <xf numFmtId="1" fontId="10" fillId="0" borderId="1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top" wrapText="1"/>
    </xf>
    <xf numFmtId="0" fontId="10" fillId="0" borderId="15" applyAlignment="1" pivotButton="0" quotePrefix="0" xfId="0">
      <alignment vertical="center" wrapText="1"/>
    </xf>
    <xf numFmtId="0" fontId="10" fillId="7" borderId="17" applyAlignment="1" pivotButton="0" quotePrefix="0" xfId="0">
      <alignment vertical="center" wrapText="1"/>
    </xf>
    <xf numFmtId="0" fontId="4" fillId="7" borderId="18" applyAlignment="1" pivotButton="0" quotePrefix="0" xfId="0">
      <alignment horizontal="center" vertical="center" wrapText="1"/>
    </xf>
    <xf numFmtId="0" fontId="4" fillId="7" borderId="19" applyAlignment="1" pivotButton="0" quotePrefix="0" xfId="0">
      <alignment horizontal="center" vertical="center" wrapText="1"/>
    </xf>
    <xf numFmtId="2" fontId="4" fillId="0" borderId="9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6" applyAlignment="1" pivotButton="0" quotePrefix="0" xfId="0">
      <alignment vertical="center" wrapText="1"/>
    </xf>
    <xf numFmtId="0" fontId="10" fillId="0" borderId="6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10" fillId="0" borderId="9" applyAlignment="1" pivotButton="0" quotePrefix="0" xfId="0">
      <alignment horizontal="center" vertical="top" wrapText="1"/>
    </xf>
    <xf numFmtId="0" fontId="10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vertical="top" wrapText="1"/>
    </xf>
    <xf numFmtId="0" fontId="10" fillId="0" borderId="7" applyAlignment="1" pivotButton="0" quotePrefix="0" xfId="0">
      <alignment vertical="top" wrapText="1"/>
    </xf>
    <xf numFmtId="0" fontId="1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5" fillId="0" borderId="17" applyAlignment="1" pivotButton="0" quotePrefix="0" xfId="0">
      <alignment horizontal="left"/>
    </xf>
    <xf numFmtId="0" fontId="14" fillId="0" borderId="20" pivotButton="0" quotePrefix="0" xfId="0"/>
    <xf numFmtId="0" fontId="14" fillId="0" borderId="0" pivotButton="0" quotePrefix="0" xfId="0"/>
    <xf numFmtId="0" fontId="15" fillId="0" borderId="21" applyAlignment="1" pivotButton="0" quotePrefix="0" xfId="0">
      <alignment horizontal="center"/>
    </xf>
    <xf numFmtId="0" fontId="8" fillId="0" borderId="7" applyAlignment="1" applyProtection="1" pivotButton="0" quotePrefix="0" xfId="1">
      <alignment horizontal="center" vertical="center"/>
      <protection locked="0" hidden="0"/>
    </xf>
    <xf numFmtId="0" fontId="14" fillId="9" borderId="17" applyAlignment="1" pivotButton="0" quotePrefix="0" xfId="0">
      <alignment horizontal="left"/>
    </xf>
    <xf numFmtId="0" fontId="14" fillId="0" borderId="17" applyAlignment="1" pivotButton="0" quotePrefix="0" xfId="0">
      <alignment horizontal="center"/>
    </xf>
    <xf numFmtId="0" fontId="4" fillId="0" borderId="17" applyAlignment="1" pivotButton="0" quotePrefix="0" xfId="0">
      <alignment horizontal="center" vertical="top"/>
    </xf>
    <xf numFmtId="2" fontId="14" fillId="0" borderId="17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/>
    </xf>
    <xf numFmtId="0" fontId="8" fillId="0" borderId="15" applyAlignment="1" applyProtection="1" pivotButton="0" quotePrefix="0" xfId="1">
      <alignment horizontal="center" vertical="center"/>
      <protection locked="0" hidden="0"/>
    </xf>
    <xf numFmtId="0" fontId="14" fillId="9" borderId="17" applyAlignment="1" pivotButton="0" quotePrefix="0" xfId="0">
      <alignment horizontal="left" vertical="top"/>
    </xf>
    <xf numFmtId="0" fontId="4" fillId="0" borderId="17" pivotButton="0" quotePrefix="0" xfId="0"/>
    <xf numFmtId="0" fontId="8" fillId="0" borderId="1" applyAlignment="1" applyProtection="1" pivotButton="0" quotePrefix="0" xfId="1">
      <alignment horizontal="center" vertical="center"/>
      <protection locked="0" hidden="0"/>
    </xf>
    <xf numFmtId="0" fontId="8" fillId="4" borderId="6" applyAlignment="1" pivotButton="0" quotePrefix="0" xfId="1">
      <alignment horizontal="center" vertical="center" wrapText="1"/>
    </xf>
    <xf numFmtId="0" fontId="4" fillId="0" borderId="6" applyAlignment="1" applyProtection="1" pivotButton="0" quotePrefix="0" xfId="1">
      <alignment horizontal="center" vertical="center"/>
      <protection locked="0" hidden="0"/>
    </xf>
    <xf numFmtId="0" fontId="4" fillId="0" borderId="7" applyAlignment="1" applyProtection="1" pivotButton="0" quotePrefix="0" xfId="1">
      <alignment horizontal="center" vertical="center"/>
      <protection locked="0" hidden="0"/>
    </xf>
    <xf numFmtId="0" fontId="4" fillId="0" borderId="0" applyProtection="1" pivotButton="0" quotePrefix="0" xfId="1">
      <protection locked="0" hidden="0"/>
    </xf>
    <xf numFmtId="0" fontId="9" fillId="0" borderId="1" applyAlignment="1" pivotButton="0" quotePrefix="0" xfId="1">
      <alignment horizontal="left" vertical="center" wrapText="1"/>
    </xf>
    <xf numFmtId="0" fontId="4" fillId="0" borderId="1" applyAlignment="1" applyProtection="1" pivotButton="0" quotePrefix="0" xfId="1">
      <alignment horizontal="center" vertical="center"/>
      <protection locked="0" hidden="0"/>
    </xf>
    <xf numFmtId="0" fontId="4" fillId="0" borderId="1" applyAlignment="1" pivotButton="0" quotePrefix="0" xfId="1">
      <alignment vertical="center" wrapText="1"/>
    </xf>
    <xf numFmtId="0" fontId="4" fillId="0" borderId="1" applyAlignment="1" pivotButton="0" quotePrefix="0" xfId="1">
      <alignment horizontal="center" vertical="center" wrapText="1"/>
    </xf>
    <xf numFmtId="2" fontId="4" fillId="2" borderId="1" applyAlignment="1" applyProtection="1" pivotButton="0" quotePrefix="0" xfId="1">
      <alignment horizontal="center" vertical="center"/>
      <protection locked="0" hidden="0"/>
    </xf>
    <xf numFmtId="0" fontId="9" fillId="2" borderId="1" applyAlignment="1" pivotButton="0" quotePrefix="0" xfId="1">
      <alignment horizontal="left" vertical="center" wrapText="1"/>
    </xf>
    <xf numFmtId="0" fontId="4" fillId="2" borderId="1" applyAlignment="1" pivotButton="0" quotePrefix="0" xfId="1">
      <alignment horizontal="center" vertical="center" wrapText="1"/>
    </xf>
    <xf numFmtId="0" fontId="4" fillId="2" borderId="1" applyAlignment="1" applyProtection="1" pivotButton="0" quotePrefix="0" xfId="1">
      <alignment horizontal="center" vertical="center"/>
      <protection locked="0" hidden="0"/>
    </xf>
    <xf numFmtId="0" fontId="8" fillId="2" borderId="1" applyAlignment="1" applyProtection="1" pivotButton="0" quotePrefix="0" xfId="1">
      <alignment horizontal="center" vertical="center"/>
      <protection locked="0" hidden="0"/>
    </xf>
    <xf numFmtId="0" fontId="4" fillId="0" borderId="1" applyAlignment="1" pivotButton="0" quotePrefix="0" xfId="1">
      <alignment vertical="top" wrapText="1"/>
    </xf>
    <xf numFmtId="0" fontId="4" fillId="0" borderId="9" applyAlignment="1" applyProtection="1" pivotButton="0" quotePrefix="0" xfId="1">
      <alignment horizontal="center" vertical="center"/>
      <protection locked="0" hidden="0"/>
    </xf>
    <xf numFmtId="0" fontId="8" fillId="0" borderId="9" applyAlignment="1" applyProtection="1" pivotButton="0" quotePrefix="0" xfId="1">
      <alignment horizontal="center" vertical="center"/>
      <protection locked="0" hidden="0"/>
    </xf>
    <xf numFmtId="0" fontId="4" fillId="0" borderId="15" applyAlignment="1" applyProtection="1" pivotButton="0" quotePrefix="0" xfId="1">
      <alignment horizontal="center" vertical="center"/>
      <protection locked="0" hidden="0"/>
    </xf>
    <xf numFmtId="2" fontId="4" fillId="0" borderId="15" applyAlignment="1" applyProtection="1" pivotButton="0" quotePrefix="0" xfId="1">
      <alignment horizontal="center" vertical="center"/>
      <protection locked="0" hidden="0"/>
    </xf>
    <xf numFmtId="0" fontId="4" fillId="0" borderId="1" applyAlignment="1" pivotButton="0" quotePrefix="0" xfId="1">
      <alignment horizontal="left" vertical="center" wrapText="1"/>
    </xf>
    <xf numFmtId="2" fontId="4" fillId="0" borderId="1" applyAlignment="1" applyProtection="1" pivotButton="0" quotePrefix="0" xfId="1">
      <alignment horizontal="center" vertical="center"/>
      <protection locked="0" hidden="0"/>
    </xf>
    <xf numFmtId="0" fontId="4" fillId="0" borderId="1" applyAlignment="1" pivotButton="0" quotePrefix="0" xfId="1">
      <alignment wrapText="1"/>
    </xf>
    <xf numFmtId="2" fontId="4" fillId="0" borderId="9" applyAlignment="1" applyProtection="1" pivotButton="0" quotePrefix="0" xfId="1">
      <alignment horizontal="center" vertical="center"/>
      <protection locked="0" hidden="0"/>
    </xf>
    <xf numFmtId="0" fontId="8" fillId="0" borderId="16" applyAlignment="1" applyProtection="1" pivotButton="0" quotePrefix="0" xfId="1">
      <alignment horizontal="center" vertical="center"/>
      <protection locked="0" hidden="0"/>
    </xf>
    <xf numFmtId="2" fontId="4" fillId="0" borderId="7" applyAlignment="1" applyProtection="1" pivotButton="0" quotePrefix="0" xfId="1">
      <alignment horizontal="center" vertical="center"/>
      <protection locked="0" hidden="0"/>
    </xf>
    <xf numFmtId="0" fontId="9" fillId="0" borderId="1" applyAlignment="1" pivotButton="0" quotePrefix="0" xfId="1">
      <alignment horizontal="left" vertical="top" wrapText="1"/>
    </xf>
    <xf numFmtId="0" fontId="5" fillId="4" borderId="2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/>
    </xf>
    <xf numFmtId="0" fontId="9" fillId="0" borderId="7" applyAlignment="1" applyProtection="1" pivotButton="0" quotePrefix="0" xfId="0">
      <alignment horizontal="center" vertical="center" wrapText="1"/>
      <protection locked="0" hidden="0"/>
    </xf>
    <xf numFmtId="2" fontId="10" fillId="0" borderId="1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49" fontId="4" fillId="0" borderId="17" applyAlignment="1" pivotButton="0" quotePrefix="0" xfId="0">
      <alignment vertical="center"/>
    </xf>
    <xf numFmtId="0" fontId="14" fillId="0" borderId="25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9" fillId="0" borderId="15" applyAlignment="1" applyProtection="1" pivotButton="0" quotePrefix="0" xfId="0">
      <alignment horizontal="center" vertical="center" wrapText="1"/>
      <protection locked="0" hidden="0"/>
    </xf>
    <xf numFmtId="0" fontId="14" fillId="0" borderId="17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49" fontId="4" fillId="0" borderId="18" applyAlignment="1" pivotButton="0" quotePrefix="0" xfId="0">
      <alignment vertical="center"/>
    </xf>
    <xf numFmtId="0" fontId="1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9" fillId="0" borderId="9" applyAlignment="1" applyProtection="1" pivotButton="0" quotePrefix="0" xfId="0">
      <alignment horizontal="center" vertical="center" wrapText="1"/>
      <protection locked="0" hidden="0"/>
    </xf>
    <xf numFmtId="0" fontId="1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1">
      <alignment horizontal="center" vertical="center"/>
    </xf>
    <xf numFmtId="0" fontId="14" fillId="2" borderId="0" applyAlignment="1" pivotButton="0" quotePrefix="0" xfId="1">
      <alignment horizontal="left" vertical="top" wrapText="1"/>
    </xf>
    <xf numFmtId="0" fontId="14" fillId="2" borderId="0" applyAlignment="1" pivotButton="0" quotePrefix="0" xfId="1">
      <alignment horizontal="center" vertical="center"/>
    </xf>
    <xf numFmtId="0" fontId="3" fillId="2" borderId="0" applyAlignment="1" pivotButton="0" quotePrefix="0" xfId="1">
      <alignment horizontal="center" vertical="center"/>
    </xf>
    <xf numFmtId="0" fontId="15" fillId="2" borderId="0" applyAlignment="1" pivotButton="0" quotePrefix="0" xfId="1">
      <alignment horizontal="right" vertical="center"/>
    </xf>
    <xf numFmtId="2" fontId="15" fillId="2" borderId="25" applyAlignment="1" pivotButton="0" quotePrefix="0" xfId="1">
      <alignment horizontal="center" vertical="center"/>
    </xf>
    <xf numFmtId="2" fontId="15" fillId="2" borderId="17" applyAlignment="1" pivotButton="0" quotePrefix="0" xfId="1">
      <alignment horizontal="center" vertical="center"/>
    </xf>
    <xf numFmtId="0" fontId="14" fillId="2" borderId="0" applyAlignment="1" pivotButton="0" quotePrefix="0" xfId="1">
      <alignment horizontal="center" vertical="top" wrapText="1"/>
    </xf>
    <xf numFmtId="2" fontId="15" fillId="2" borderId="18" applyAlignment="1" pivotButton="0" quotePrefix="0" xfId="1">
      <alignment horizontal="center" vertical="center"/>
    </xf>
    <xf numFmtId="0" fontId="5" fillId="2" borderId="17" applyAlignment="1" pivotButton="0" quotePrefix="0" xfId="0">
      <alignment horizontal="left"/>
    </xf>
    <xf numFmtId="0" fontId="14" fillId="2" borderId="20" pivotButton="0" quotePrefix="0" xfId="0"/>
    <xf numFmtId="0" fontId="14" fillId="2" borderId="0" pivotButton="0" quotePrefix="0" xfId="0"/>
    <xf numFmtId="0" fontId="15" fillId="2" borderId="21" applyAlignment="1" pivotButton="0" quotePrefix="0" xfId="0">
      <alignment horizontal="center"/>
    </xf>
    <xf numFmtId="0" fontId="14" fillId="2" borderId="7" pivotButton="0" quotePrefix="0" xfId="0"/>
    <xf numFmtId="0" fontId="8" fillId="2" borderId="7" applyAlignment="1" applyProtection="1" pivotButton="0" quotePrefix="0" xfId="1">
      <alignment horizontal="center" vertical="center"/>
      <protection locked="0" hidden="0"/>
    </xf>
    <xf numFmtId="2" fontId="8" fillId="2" borderId="8" applyAlignment="1" applyProtection="1" pivotButton="0" quotePrefix="0" xfId="1">
      <alignment horizontal="center" vertical="center"/>
      <protection locked="0" hidden="0"/>
    </xf>
    <xf numFmtId="0" fontId="14" fillId="2" borderId="17" applyAlignment="1" pivotButton="0" quotePrefix="0" xfId="0">
      <alignment horizontal="center"/>
    </xf>
    <xf numFmtId="0" fontId="4" fillId="2" borderId="17" applyAlignment="1" pivotButton="0" quotePrefix="0" xfId="0">
      <alignment horizontal="center" vertical="top"/>
    </xf>
    <xf numFmtId="2" fontId="14" fillId="2" borderId="17" applyAlignment="1" pivotButton="0" quotePrefix="0" xfId="0">
      <alignment horizontal="center" vertical="center"/>
    </xf>
    <xf numFmtId="0" fontId="15" fillId="2" borderId="22" applyAlignment="1" pivotButton="0" quotePrefix="0" xfId="0">
      <alignment horizontal="center"/>
    </xf>
    <xf numFmtId="0" fontId="15" fillId="2" borderId="23" applyAlignment="1" pivotButton="0" quotePrefix="0" xfId="0">
      <alignment horizontal="center"/>
    </xf>
    <xf numFmtId="0" fontId="14" fillId="2" borderId="15" pivotButton="0" quotePrefix="0" xfId="0"/>
    <xf numFmtId="0" fontId="8" fillId="2" borderId="15" applyAlignment="1" applyProtection="1" pivotButton="0" quotePrefix="0" xfId="1">
      <alignment horizontal="center" vertical="center"/>
      <protection locked="0" hidden="0"/>
    </xf>
    <xf numFmtId="0" fontId="4" fillId="2" borderId="17" pivotButton="0" quotePrefix="0" xfId="0"/>
    <xf numFmtId="0" fontId="14" fillId="2" borderId="1" pivotButton="0" quotePrefix="0" xfId="0"/>
    <xf numFmtId="0" fontId="4" fillId="2" borderId="6" applyAlignment="1" applyProtection="1" pivotButton="0" quotePrefix="0" xfId="1">
      <alignment horizontal="center" vertical="center"/>
      <protection locked="0" hidden="0"/>
    </xf>
    <xf numFmtId="0" fontId="4" fillId="2" borderId="7" applyAlignment="1" applyProtection="1" pivotButton="0" quotePrefix="0" xfId="1">
      <alignment horizontal="center" vertical="center"/>
      <protection locked="0" hidden="0"/>
    </xf>
    <xf numFmtId="0" fontId="4" fillId="2" borderId="0" applyProtection="1" pivotButton="0" quotePrefix="0" xfId="1">
      <protection locked="0" hidden="0"/>
    </xf>
    <xf numFmtId="0" fontId="4" fillId="2" borderId="1" applyAlignment="1" pivotButton="0" quotePrefix="0" xfId="1">
      <alignment vertical="center" wrapText="1"/>
    </xf>
    <xf numFmtId="0" fontId="4" fillId="2" borderId="1" applyAlignment="1" pivotButton="0" quotePrefix="0" xfId="1">
      <alignment vertical="top" wrapText="1"/>
    </xf>
    <xf numFmtId="0" fontId="4" fillId="2" borderId="9" applyAlignment="1" applyProtection="1" pivotButton="0" quotePrefix="0" xfId="1">
      <alignment horizontal="center" vertical="center"/>
      <protection locked="0" hidden="0"/>
    </xf>
    <xf numFmtId="0" fontId="8" fillId="2" borderId="9" applyAlignment="1" applyProtection="1" pivotButton="0" quotePrefix="0" xfId="1">
      <alignment horizontal="center" vertical="center"/>
      <protection locked="0" hidden="0"/>
    </xf>
    <xf numFmtId="0" fontId="4" fillId="2" borderId="15" applyAlignment="1" applyProtection="1" pivotButton="0" quotePrefix="0" xfId="1">
      <alignment horizontal="center" vertical="center"/>
      <protection locked="0" hidden="0"/>
    </xf>
    <xf numFmtId="2" fontId="4" fillId="2" borderId="15" applyAlignment="1" applyProtection="1" pivotButton="0" quotePrefix="0" xfId="1">
      <alignment horizontal="center" vertical="center"/>
      <protection locked="0" hidden="0"/>
    </xf>
    <xf numFmtId="0" fontId="4" fillId="2" borderId="1" applyAlignment="1" pivotButton="0" quotePrefix="0" xfId="1">
      <alignment horizontal="left" vertical="center" wrapText="1"/>
    </xf>
    <xf numFmtId="0" fontId="4" fillId="2" borderId="1" applyAlignment="1" pivotButton="0" quotePrefix="0" xfId="1">
      <alignment wrapText="1"/>
    </xf>
    <xf numFmtId="2" fontId="4" fillId="2" borderId="9" applyAlignment="1" applyProtection="1" pivotButton="0" quotePrefix="0" xfId="1">
      <alignment horizontal="center" vertical="center"/>
      <protection locked="0" hidden="0"/>
    </xf>
    <xf numFmtId="0" fontId="8" fillId="2" borderId="16" applyAlignment="1" applyProtection="1" pivotButton="0" quotePrefix="0" xfId="1">
      <alignment horizontal="center" vertical="center"/>
      <protection locked="0" hidden="0"/>
    </xf>
    <xf numFmtId="2" fontId="4" fillId="2" borderId="7" applyAlignment="1" applyProtection="1" pivotButton="0" quotePrefix="0" xfId="1">
      <alignment horizontal="center" vertical="center"/>
      <protection locked="0" hidden="0"/>
    </xf>
    <xf numFmtId="0" fontId="9" fillId="2" borderId="1" applyAlignment="1" pivotButton="0" quotePrefix="0" xfId="1">
      <alignment horizontal="left" vertical="top" wrapText="1"/>
    </xf>
    <xf numFmtId="0" fontId="4" fillId="2" borderId="1" applyAlignment="1" pivotButton="0" quotePrefix="0" xfId="1">
      <alignment vertical="center"/>
    </xf>
    <xf numFmtId="0" fontId="4" fillId="2" borderId="1" pivotButton="0" quotePrefix="0" xfId="1"/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center" vertical="center"/>
    </xf>
    <xf numFmtId="0" fontId="9" fillId="2" borderId="7" applyAlignment="1" applyProtection="1" pivotButton="0" quotePrefix="0" xfId="0">
      <alignment horizontal="center" vertical="center" wrapText="1"/>
      <protection locked="0" hidden="0"/>
    </xf>
    <xf numFmtId="0" fontId="8" fillId="2" borderId="7" applyAlignment="1" applyProtection="1" pivotButton="0" quotePrefix="0" xfId="0">
      <alignment horizontal="center" vertical="center"/>
      <protection locked="0" hidden="0"/>
    </xf>
    <xf numFmtId="0" fontId="10" fillId="2" borderId="1" applyAlignment="1" pivotButton="0" quotePrefix="0" xfId="0">
      <alignment vertical="center" wrapText="1"/>
    </xf>
    <xf numFmtId="0" fontId="10" fillId="2" borderId="1" applyAlignment="1" pivotButton="0" quotePrefix="0" xfId="0">
      <alignment horizontal="center" vertical="center" wrapText="1"/>
    </xf>
    <xf numFmtId="2" fontId="10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5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49" fontId="4" fillId="2" borderId="17" applyAlignment="1" pivotButton="0" quotePrefix="0" xfId="0">
      <alignment vertical="center"/>
    </xf>
    <xf numFmtId="0" fontId="14" fillId="2" borderId="25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9" fillId="2" borderId="15" applyAlignment="1" applyProtection="1" pivotButton="0" quotePrefix="0" xfId="0">
      <alignment horizontal="center" vertical="center" wrapText="1"/>
      <protection locked="0" hidden="0"/>
    </xf>
    <xf numFmtId="0" fontId="14" fillId="2" borderId="17" applyAlignment="1" pivotButton="0" quotePrefix="0" xfId="0">
      <alignment horizontal="center" vertical="center"/>
    </xf>
    <xf numFmtId="0" fontId="4" fillId="2" borderId="26" applyAlignment="1" pivotButton="0" quotePrefix="0" xfId="0">
      <alignment horizontal="center" vertical="center"/>
    </xf>
    <xf numFmtId="0" fontId="9" fillId="2" borderId="1" applyAlignment="1" applyProtection="1" pivotButton="0" quotePrefix="0" xfId="0">
      <alignment horizontal="center" vertical="center" wrapText="1"/>
      <protection locked="0" hidden="0"/>
    </xf>
    <xf numFmtId="49" fontId="4" fillId="2" borderId="18" applyAlignment="1" pivotButton="0" quotePrefix="0" xfId="0">
      <alignment vertical="center"/>
    </xf>
    <xf numFmtId="0" fontId="14" fillId="2" borderId="18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9" fillId="2" borderId="9" applyAlignment="1" applyProtection="1" pivotButton="0" quotePrefix="0" xfId="0">
      <alignment horizontal="center" vertical="center" wrapText="1"/>
      <protection locked="0" hidden="0"/>
    </xf>
    <xf numFmtId="0" fontId="14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4" fillId="2" borderId="0" applyAlignment="1" pivotButton="0" quotePrefix="0" xfId="1">
      <alignment horizontal="center" vertical="center"/>
    </xf>
    <xf numFmtId="0" fontId="4" fillId="2" borderId="1" applyAlignment="1" pivotButton="0" quotePrefix="0" xfId="1">
      <alignment horizontal="left" wrapText="1"/>
    </xf>
    <xf numFmtId="0" fontId="9" fillId="2" borderId="1" applyAlignment="1" pivotButton="0" quotePrefix="0" xfId="1">
      <alignment horizontal="center" vertical="center"/>
    </xf>
    <xf numFmtId="0" fontId="9" fillId="2" borderId="1" applyAlignment="1" pivotButton="0" quotePrefix="0" xfId="1">
      <alignment horizontal="center" vertical="center" wrapText="1"/>
    </xf>
    <xf numFmtId="0" fontId="4" fillId="2" borderId="1" applyAlignment="1" pivotButton="0" quotePrefix="0" xfId="1">
      <alignment horizontal="center" vertical="center"/>
    </xf>
    <xf numFmtId="0" fontId="10" fillId="2" borderId="15" applyAlignment="1" applyProtection="1" pivotButton="0" quotePrefix="0" xfId="1">
      <alignment horizontal="left" vertical="center" wrapText="1"/>
      <protection locked="0" hidden="0"/>
    </xf>
    <xf numFmtId="0" fontId="10" fillId="2" borderId="1" applyAlignment="1" applyProtection="1" pivotButton="0" quotePrefix="0" xfId="1">
      <alignment horizontal="center" vertical="center"/>
      <protection locked="0" hidden="0"/>
    </xf>
    <xf numFmtId="0" fontId="9" fillId="2" borderId="1" applyAlignment="1" applyProtection="1" pivotButton="0" quotePrefix="0" xfId="1">
      <alignment horizontal="center" vertical="center"/>
      <protection locked="0" hidden="0"/>
    </xf>
    <xf numFmtId="0" fontId="9" fillId="2" borderId="9" applyAlignment="1" applyProtection="1" pivotButton="0" quotePrefix="0" xfId="1">
      <alignment horizontal="center" vertical="center"/>
      <protection locked="0" hidden="0"/>
    </xf>
    <xf numFmtId="0" fontId="10" fillId="2" borderId="15" applyAlignment="1" applyProtection="1" pivotButton="0" quotePrefix="0" xfId="1">
      <alignment horizontal="center" vertical="center" wrapText="1"/>
      <protection locked="0" hidden="0"/>
    </xf>
    <xf numFmtId="0" fontId="4" fillId="2" borderId="1" applyAlignment="1" applyProtection="1" pivotButton="0" quotePrefix="0" xfId="1">
      <alignment vertical="center" wrapText="1"/>
      <protection locked="0" hidden="0"/>
    </xf>
    <xf numFmtId="0" fontId="10" fillId="2" borderId="1" applyAlignment="1" applyProtection="1" pivotButton="0" quotePrefix="0" xfId="1">
      <alignment horizontal="center" vertical="center" wrapText="1"/>
      <protection locked="0" hidden="0"/>
    </xf>
    <xf numFmtId="0" fontId="10" fillId="2" borderId="1" applyAlignment="1" applyProtection="1" pivotButton="0" quotePrefix="0" xfId="1">
      <alignment horizontal="left" vertical="center" wrapText="1"/>
      <protection locked="0" hidden="0"/>
    </xf>
    <xf numFmtId="0" fontId="14" fillId="2" borderId="0" applyAlignment="1" pivotButton="0" quotePrefix="0" xfId="1">
      <alignment vertical="center"/>
    </xf>
    <xf numFmtId="0" fontId="15" fillId="2" borderId="0" applyAlignment="1" pivotButton="0" quotePrefix="0" xfId="1">
      <alignment vertical="center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4" fillId="0" borderId="0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/>
      <protection locked="0" hidden="0"/>
    </xf>
    <xf numFmtId="0" fontId="8" fillId="0" borderId="15" applyAlignment="1" applyProtection="1" pivotButton="0" quotePrefix="0" xfId="0">
      <alignment horizontal="center" vertical="center"/>
      <protection locked="0" hidden="0"/>
    </xf>
    <xf numFmtId="0" fontId="5" fillId="0" borderId="29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center"/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0" fontId="9" fillId="0" borderId="6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center"/>
      <protection locked="0" hidden="0"/>
    </xf>
    <xf numFmtId="0" fontId="2" fillId="8" borderId="9" applyAlignment="1" applyProtection="1" pivotButton="0" quotePrefix="0" xfId="0">
      <alignment horizontal="center" vertical="center" wrapText="1"/>
      <protection locked="0" hidden="0"/>
    </xf>
    <xf numFmtId="0" fontId="6" fillId="10" borderId="6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9" fillId="0" borderId="1" applyAlignment="1" applyProtection="1" pivotButton="0" quotePrefix="0" xfId="0">
      <alignment vertical="center" wrapText="1"/>
      <protection locked="0" hidden="0"/>
    </xf>
    <xf numFmtId="0" fontId="9" fillId="0" borderId="11" applyAlignment="1" applyProtection="1" pivotButton="0" quotePrefix="0" xfId="0">
      <alignment horizontal="center" vertical="center" wrapText="1"/>
      <protection locked="0" hidden="0"/>
    </xf>
    <xf numFmtId="0" fontId="6" fillId="10" borderId="11" applyAlignment="1" pivotButton="0" quotePrefix="0" xfId="0">
      <alignment horizontal="center" vertical="center" wrapText="1"/>
    </xf>
    <xf numFmtId="0" fontId="9" fillId="0" borderId="12" applyAlignment="1" applyProtection="1" pivotButton="0" quotePrefix="0" xfId="0">
      <alignment horizontal="center" vertical="center"/>
      <protection locked="0" hidden="0"/>
    </xf>
    <xf numFmtId="0" fontId="5" fillId="0" borderId="1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vertical="center" wrapText="1"/>
    </xf>
    <xf numFmtId="0" fontId="5" fillId="0" borderId="12" applyAlignment="1" pivotButton="0" quotePrefix="0" xfId="0">
      <alignment vertical="center" wrapText="1"/>
    </xf>
    <xf numFmtId="0" fontId="9" fillId="0" borderId="30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/>
    </xf>
    <xf numFmtId="2" fontId="10" fillId="0" borderId="11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top" wrapText="1"/>
    </xf>
    <xf numFmtId="1" fontId="10" fillId="0" borderId="7" applyAlignment="1" pivotButton="0" quotePrefix="0" xfId="0">
      <alignment horizontal="center" vertical="top" wrapText="1"/>
    </xf>
    <xf numFmtId="0" fontId="9" fillId="0" borderId="30" applyAlignment="1" applyProtection="1" pivotButton="0" quotePrefix="0" xfId="0">
      <alignment horizontal="center" vertical="center"/>
      <protection locked="0" hidden="0"/>
    </xf>
    <xf numFmtId="0" fontId="9" fillId="0" borderId="11" applyAlignment="1" applyProtection="1" pivotButton="0" quotePrefix="0" xfId="0">
      <alignment horizontal="center" vertical="center"/>
      <protection locked="0" hidden="0"/>
    </xf>
    <xf numFmtId="0" fontId="10" fillId="0" borderId="11" applyAlignment="1" applyProtection="1" pivotButton="0" quotePrefix="0" xfId="0">
      <alignment horizontal="center" vertical="center"/>
      <protection locked="0" hidden="0"/>
    </xf>
    <xf numFmtId="0" fontId="4" fillId="0" borderId="11" applyAlignment="1" pivotButton="0" quotePrefix="0" xfId="0">
      <alignment horizontal="center"/>
    </xf>
    <xf numFmtId="0" fontId="10" fillId="0" borderId="3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6" fillId="10" borderId="6" applyAlignment="1" pivotButton="0" quotePrefix="0" xfId="0">
      <alignment horizontal="center" wrapText="1"/>
    </xf>
    <xf numFmtId="0" fontId="4" fillId="0" borderId="13" applyAlignment="1" pivotButton="0" quotePrefix="0" xfId="0">
      <alignment horizontal="center" vertical="center" wrapText="1"/>
    </xf>
    <xf numFmtId="0" fontId="9" fillId="0" borderId="16" applyAlignment="1" applyProtection="1" pivotButton="0" quotePrefix="0" xfId="0">
      <alignment horizontal="center" vertical="center"/>
      <protection locked="0" hidden="0"/>
    </xf>
    <xf numFmtId="0" fontId="4" fillId="0" borderId="11" applyAlignment="1" pivotButton="0" quotePrefix="0" xfId="0">
      <alignment horizontal="center" vertical="center" wrapText="1"/>
    </xf>
    <xf numFmtId="0" fontId="6" fillId="10" borderId="30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49" fontId="6" fillId="10" borderId="6" applyAlignment="1" applyProtection="1" pivotButton="0" quotePrefix="0" xfId="0">
      <alignment horizontal="center" vertical="center" wrapText="1"/>
      <protection locked="0" hidden="0"/>
    </xf>
    <xf numFmtId="1" fontId="10" fillId="0" borderId="11" applyAlignment="1" applyProtection="1" pivotButton="0" quotePrefix="0" xfId="0">
      <alignment horizontal="center" vertical="center" wrapText="1"/>
      <protection locked="0" hidden="0"/>
    </xf>
    <xf numFmtId="0" fontId="4" fillId="0" borderId="3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top"/>
    </xf>
    <xf numFmtId="1" fontId="10" fillId="0" borderId="6" applyAlignment="1" pivotButton="0" quotePrefix="0" xfId="0">
      <alignment horizontal="center" vertical="center"/>
    </xf>
    <xf numFmtId="2" fontId="4" fillId="0" borderId="11" applyAlignment="1" pivotButton="0" quotePrefix="0" xfId="0">
      <alignment horizontal="center" vertical="center"/>
    </xf>
    <xf numFmtId="0" fontId="4" fillId="0" borderId="0" applyAlignment="1" applyProtection="1" pivotButton="0" quotePrefix="0" xfId="0">
      <alignment wrapText="1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8" fillId="8" borderId="1" applyAlignment="1" applyProtection="1" pivotButton="0" quotePrefix="0" xfId="1">
      <alignment horizontal="center" vertical="center" wrapText="1"/>
      <protection locked="0" hidden="0"/>
    </xf>
    <xf numFmtId="0" fontId="5" fillId="11" borderId="26" applyAlignment="1" pivotButton="0" quotePrefix="0" xfId="0">
      <alignment horizontal="center" vertical="center"/>
    </xf>
    <xf numFmtId="0" fontId="10" fillId="2" borderId="6" applyAlignment="1" pivotButton="0" quotePrefix="0" xfId="0">
      <alignment vertical="center" wrapText="1"/>
    </xf>
    <xf numFmtId="0" fontId="10" fillId="2" borderId="7" applyAlignment="1" pivotButton="0" quotePrefix="0" xfId="0">
      <alignment vertical="center" wrapText="1"/>
    </xf>
    <xf numFmtId="0" fontId="10" fillId="0" borderId="8" applyAlignment="1" pivotButton="0" quotePrefix="0" xfId="0">
      <alignment vertical="center" wrapText="1"/>
    </xf>
    <xf numFmtId="0" fontId="15" fillId="0" borderId="17" applyAlignment="1" pivotButton="0" quotePrefix="0" xfId="0">
      <alignment horizontal="left"/>
    </xf>
    <xf numFmtId="0" fontId="4" fillId="0" borderId="25" applyAlignment="1" pivotButton="0" quotePrefix="0" xfId="0">
      <alignment horizontal="center"/>
    </xf>
    <xf numFmtId="0" fontId="4" fillId="0" borderId="25" applyAlignment="1" pivotButton="0" quotePrefix="0" xfId="0">
      <alignment horizontal="center" vertical="top"/>
    </xf>
    <xf numFmtId="0" fontId="14" fillId="0" borderId="25" applyAlignment="1" pivotButton="0" quotePrefix="0" xfId="0">
      <alignment horizontal="center"/>
    </xf>
    <xf numFmtId="0" fontId="15" fillId="0" borderId="27" applyAlignment="1" pivotButton="0" quotePrefix="0" xfId="0">
      <alignment horizontal="center"/>
    </xf>
    <xf numFmtId="0" fontId="15" fillId="0" borderId="24" applyAlignment="1" pivotButton="0" quotePrefix="0" xfId="0">
      <alignment horizontal="left"/>
    </xf>
    <xf numFmtId="0" fontId="4" fillId="0" borderId="24" pivotButton="0" quotePrefix="0" xfId="0"/>
    <xf numFmtId="0" fontId="4" fillId="0" borderId="23" pivotButton="0" quotePrefix="0" xfId="0"/>
    <xf numFmtId="0" fontId="4" fillId="0" borderId="21" applyAlignment="1" pivotButton="0" quotePrefix="0" xfId="0">
      <alignment vertical="center"/>
    </xf>
    <xf numFmtId="0" fontId="4" fillId="0" borderId="21" pivotButton="0" quotePrefix="0" xfId="0"/>
    <xf numFmtId="0" fontId="4" fillId="0" borderId="17" applyAlignment="1" pivotButton="0" quotePrefix="0" xfId="0">
      <alignment horizontal="center"/>
    </xf>
    <xf numFmtId="0" fontId="14" fillId="9" borderId="25" applyAlignment="1" pivotButton="0" quotePrefix="0" xfId="0">
      <alignment horizontal="left"/>
    </xf>
    <xf numFmtId="0" fontId="14" fillId="0" borderId="17" applyAlignment="1" pivotButton="0" quotePrefix="0" xfId="0">
      <alignment horizontal="left"/>
    </xf>
    <xf numFmtId="0" fontId="14" fillId="0" borderId="22" applyAlignment="1" pivotButton="0" quotePrefix="0" xfId="0">
      <alignment horizontal="center"/>
    </xf>
    <xf numFmtId="0" fontId="14" fillId="2" borderId="17" applyAlignment="1" pivotButton="0" quotePrefix="0" xfId="0">
      <alignment horizontal="left"/>
    </xf>
    <xf numFmtId="0" fontId="4" fillId="9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15" fillId="0" borderId="17" applyAlignment="1" pivotButton="0" quotePrefix="0" xfId="0">
      <alignment horizontal="left" vertical="top"/>
    </xf>
    <xf numFmtId="0" fontId="15" fillId="9" borderId="17" applyAlignment="1" pivotButton="0" quotePrefix="0" xfId="0">
      <alignment horizontal="left"/>
    </xf>
    <xf numFmtId="0" fontId="15" fillId="2" borderId="17" applyAlignment="1" pivotButton="0" quotePrefix="0" xfId="0">
      <alignment horizontal="left"/>
    </xf>
    <xf numFmtId="0" fontId="14" fillId="0" borderId="27" applyAlignment="1" pivotButton="0" quotePrefix="0" xfId="0">
      <alignment horizontal="center"/>
    </xf>
    <xf numFmtId="0" fontId="14" fillId="2" borderId="20" applyAlignment="1" pivotButton="0" quotePrefix="0" xfId="0">
      <alignment vertical="center"/>
    </xf>
    <xf numFmtId="0" fontId="4" fillId="2" borderId="7" applyProtection="1" pivotButton="0" quotePrefix="0" xfId="1">
      <protection locked="0" hidden="0"/>
    </xf>
    <xf numFmtId="0" fontId="4" fillId="0" borderId="1" applyProtection="1" pivotButton="0" quotePrefix="0" xfId="1">
      <protection locked="0" hidden="0"/>
    </xf>
    <xf numFmtId="0" fontId="4" fillId="0" borderId="9" applyProtection="1" pivotButton="0" quotePrefix="0" xfId="1">
      <protection locked="0" hidden="0"/>
    </xf>
    <xf numFmtId="0" fontId="4" fillId="0" borderId="15" applyProtection="1" pivotButton="0" quotePrefix="0" xfId="1">
      <protection locked="0" hidden="0"/>
    </xf>
    <xf numFmtId="0" fontId="4" fillId="0" borderId="1" applyAlignment="1" pivotButton="0" quotePrefix="0" xfId="1">
      <alignment horizontal="left" vertical="center"/>
    </xf>
    <xf numFmtId="0" fontId="4" fillId="2" borderId="1" applyProtection="1" pivotButton="0" quotePrefix="0" xfId="1">
      <protection locked="0" hidden="0"/>
    </xf>
    <xf numFmtId="0" fontId="5" fillId="4" borderId="1" applyAlignment="1" pivotButton="0" quotePrefix="0" xfId="1">
      <alignment horizontal="center" vertical="center" wrapText="1"/>
    </xf>
    <xf numFmtId="0" fontId="4" fillId="2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14" fillId="0" borderId="24" applyAlignment="1" pivotButton="0" quotePrefix="0" xfId="0">
      <alignment horizontal="left" vertical="top"/>
    </xf>
    <xf numFmtId="0" fontId="14" fillId="0" borderId="26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4" fillId="0" borderId="24" applyAlignment="1" pivotButton="0" quotePrefix="0" xfId="0">
      <alignment horizontal="left"/>
    </xf>
    <xf numFmtId="0" fontId="4" fillId="0" borderId="24" applyAlignment="1" pivotButton="0" quotePrefix="0" xfId="0">
      <alignment horizontal="left"/>
    </xf>
    <xf numFmtId="2" fontId="4" fillId="2" borderId="1" applyAlignment="1" applyProtection="1" pivotButton="0" quotePrefix="0" xfId="4">
      <alignment horizontal="center" vertical="center"/>
      <protection locked="0" hidden="0"/>
    </xf>
    <xf numFmtId="0" fontId="4" fillId="0" borderId="1" applyAlignment="1" pivotButton="0" quotePrefix="0" xfId="4">
      <alignment horizontal="left" wrapText="1"/>
    </xf>
    <xf numFmtId="0" fontId="9" fillId="0" borderId="1" applyAlignment="1" pivotButton="0" quotePrefix="0" xfId="4">
      <alignment horizontal="center" vertical="center"/>
    </xf>
    <xf numFmtId="0" fontId="9" fillId="0" borderId="1" applyAlignment="1" pivotButton="0" quotePrefix="0" xfId="4">
      <alignment horizontal="center" vertical="center" wrapText="1"/>
    </xf>
    <xf numFmtId="0" fontId="4" fillId="0" borderId="1" applyAlignment="1" pivotButton="0" quotePrefix="0" xfId="4">
      <alignment horizontal="center" vertical="center"/>
    </xf>
    <xf numFmtId="0" fontId="4" fillId="2" borderId="1" applyAlignment="1" pivotButton="0" quotePrefix="0" xfId="4">
      <alignment horizontal="center" vertical="center"/>
    </xf>
    <xf numFmtId="0" fontId="8" fillId="0" borderId="1" applyAlignment="1" applyProtection="1" pivotButton="0" quotePrefix="0" xfId="4">
      <alignment horizontal="center" vertical="center"/>
      <protection locked="0" hidden="0"/>
    </xf>
    <xf numFmtId="0" fontId="10" fillId="0" borderId="15" applyAlignment="1" applyProtection="1" pivotButton="0" quotePrefix="0" xfId="4">
      <alignment horizontal="left" vertical="center" wrapText="1"/>
      <protection locked="0" hidden="0"/>
    </xf>
    <xf numFmtId="0" fontId="10" fillId="0" borderId="12" applyAlignment="1" pivotButton="0" quotePrefix="0" xfId="4">
      <alignment horizontal="center" vertical="center"/>
    </xf>
    <xf numFmtId="0" fontId="9" fillId="0" borderId="1" applyAlignment="1" applyProtection="1" pivotButton="0" quotePrefix="0" xfId="4">
      <alignment horizontal="center" vertical="center"/>
      <protection locked="0" hidden="0"/>
    </xf>
    <xf numFmtId="0" fontId="9" fillId="2" borderId="1" applyAlignment="1" applyProtection="1" pivotButton="0" quotePrefix="0" xfId="4">
      <alignment horizontal="center" vertical="center"/>
      <protection locked="0" hidden="0"/>
    </xf>
    <xf numFmtId="0" fontId="10" fillId="0" borderId="15" applyAlignment="1" applyProtection="1" pivotButton="0" quotePrefix="0" xfId="4">
      <alignment horizontal="center" vertical="center" wrapText="1"/>
      <protection locked="0" hidden="0"/>
    </xf>
    <xf numFmtId="0" fontId="4" fillId="0" borderId="22" applyAlignment="1" pivotButton="0" quotePrefix="0" xfId="4">
      <alignment horizontal="center" vertical="center"/>
    </xf>
    <xf numFmtId="0" fontId="4" fillId="0" borderId="1" applyAlignment="1" applyProtection="1" pivotButton="0" quotePrefix="0" xfId="4">
      <alignment vertical="center" wrapText="1"/>
      <protection locked="0" hidden="0"/>
    </xf>
    <xf numFmtId="0" fontId="10" fillId="0" borderId="1" applyAlignment="1" applyProtection="1" pivotButton="0" quotePrefix="0" xfId="4">
      <alignment horizontal="center" vertical="center" wrapText="1"/>
      <protection locked="0" hidden="0"/>
    </xf>
    <xf numFmtId="0" fontId="10" fillId="0" borderId="1" applyAlignment="1" applyProtection="1" pivotButton="0" quotePrefix="0" xfId="4">
      <alignment horizontal="center" vertical="center"/>
      <protection locked="0" hidden="0"/>
    </xf>
    <xf numFmtId="0" fontId="14" fillId="0" borderId="17" applyAlignment="1" pivotButton="0" quotePrefix="0" xfId="4">
      <alignment horizontal="center" vertical="center"/>
    </xf>
    <xf numFmtId="0" fontId="4" fillId="0" borderId="1" applyAlignment="1" applyProtection="1" pivotButton="0" quotePrefix="0" xfId="4">
      <alignment horizontal="center" vertical="center"/>
      <protection locked="0" hidden="0"/>
    </xf>
    <xf numFmtId="0" fontId="4" fillId="2" borderId="1" applyAlignment="1" applyProtection="1" pivotButton="0" quotePrefix="0" xfId="4">
      <alignment horizontal="center" vertical="center"/>
      <protection locked="0" hidden="0"/>
    </xf>
    <xf numFmtId="0" fontId="10" fillId="0" borderId="1" applyAlignment="1" applyProtection="1" pivotButton="0" quotePrefix="0" xfId="4">
      <alignment horizontal="left" vertical="center" wrapText="1"/>
      <protection locked="0" hidden="0"/>
    </xf>
    <xf numFmtId="0" fontId="14" fillId="0" borderId="32" applyAlignment="1" pivotButton="0" quotePrefix="0" xfId="4">
      <alignment horizontal="center" vertical="center"/>
    </xf>
    <xf numFmtId="2" fontId="10" fillId="0" borderId="32" applyAlignment="1" pivotButton="0" quotePrefix="0" xfId="4">
      <alignment horizontal="center" vertical="center"/>
    </xf>
    <xf numFmtId="0" fontId="9" fillId="0" borderId="0" applyAlignment="1" applyProtection="1" pivotButton="0" quotePrefix="0" xfId="1">
      <alignment horizontal="left" vertical="top" wrapText="1"/>
      <protection locked="0" hidden="0"/>
    </xf>
    <xf numFmtId="0" fontId="9" fillId="0" borderId="0" applyAlignment="1" applyProtection="1" pivotButton="0" quotePrefix="0" xfId="1">
      <alignment horizontal="center" vertical="center"/>
      <protection locked="0" hidden="0"/>
    </xf>
    <xf numFmtId="0" fontId="9" fillId="2" borderId="0" applyAlignment="1" applyProtection="1" pivotButton="0" quotePrefix="0" xfId="1">
      <alignment horizontal="center" vertical="center"/>
      <protection locked="0" hidden="0"/>
    </xf>
    <xf numFmtId="0" fontId="24" fillId="2" borderId="0" applyAlignment="1" applyProtection="1" pivotButton="0" quotePrefix="0" xfId="1">
      <alignment horizontal="center" vertical="center"/>
      <protection locked="0" hidden="0"/>
    </xf>
    <xf numFmtId="0" fontId="9" fillId="0" borderId="0" applyAlignment="1" pivotButton="0" quotePrefix="0" xfId="1">
      <alignment horizontal="left" vertical="top" wrapText="1"/>
    </xf>
    <xf numFmtId="0" fontId="9" fillId="0" borderId="0" applyAlignment="1" pivotButton="0" quotePrefix="0" xfId="1">
      <alignment horizontal="center" vertical="center"/>
    </xf>
    <xf numFmtId="0" fontId="9" fillId="2" borderId="0" applyAlignment="1" pivotButton="0" quotePrefix="0" xfId="1">
      <alignment horizontal="center" vertical="center"/>
    </xf>
    <xf numFmtId="0" fontId="8" fillId="2" borderId="0" applyAlignment="1" pivotButton="0" quotePrefix="0" xfId="1">
      <alignment horizontal="right" vertical="center"/>
    </xf>
    <xf numFmtId="2" fontId="8" fillId="2" borderId="1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top" wrapText="1"/>
    </xf>
    <xf numFmtId="2" fontId="8" fillId="2" borderId="9" applyAlignment="1" pivotButton="0" quotePrefix="0" xfId="1">
      <alignment horizontal="center" vertical="center"/>
    </xf>
    <xf numFmtId="0" fontId="9" fillId="0" borderId="0" applyAlignment="1" applyProtection="1" pivotButton="0" quotePrefix="0" xfId="1">
      <alignment vertical="center"/>
      <protection locked="0" hidden="0"/>
    </xf>
    <xf numFmtId="0" fontId="9" fillId="2" borderId="0" applyAlignment="1" applyProtection="1" pivotButton="0" quotePrefix="0" xfId="1">
      <alignment vertical="center"/>
      <protection locked="0" hidden="0"/>
    </xf>
    <xf numFmtId="0" fontId="8" fillId="2" borderId="0" applyAlignment="1" applyProtection="1" pivotButton="0" quotePrefix="0" xfId="1">
      <alignment vertical="center"/>
      <protection locked="0" hidden="0"/>
    </xf>
    <xf numFmtId="0" fontId="8" fillId="2" borderId="0" applyAlignment="1" pivotButton="0" quotePrefix="0" xfId="1">
      <alignment vertical="center"/>
    </xf>
    <xf numFmtId="0" fontId="9" fillId="0" borderId="0" applyAlignment="1" applyProtection="1" pivotButton="0" quotePrefix="0" xfId="1">
      <alignment vertical="center" wrapText="1"/>
      <protection locked="0" hidden="0"/>
    </xf>
    <xf numFmtId="2" fontId="8" fillId="2" borderId="0" applyAlignment="1" pivotButton="0" quotePrefix="0" xfId="1">
      <alignment vertical="center"/>
    </xf>
    <xf numFmtId="0" fontId="4" fillId="0" borderId="0" applyAlignment="1" applyProtection="1" pivotButton="0" quotePrefix="0" xfId="1">
      <alignment wrapText="1"/>
      <protection locked="0" hidden="0"/>
    </xf>
    <xf numFmtId="0" fontId="4" fillId="0" borderId="0" applyAlignment="1" applyProtection="1" pivotButton="0" quotePrefix="0" xfId="1">
      <alignment horizontal="center" vertical="center"/>
      <protection locked="0" hidden="0"/>
    </xf>
    <xf numFmtId="2" fontId="4" fillId="2" borderId="0" applyProtection="1" pivotButton="0" quotePrefix="0" xfId="1">
      <protection locked="0" hidden="0"/>
    </xf>
    <xf numFmtId="0" fontId="4" fillId="2" borderId="25" applyAlignment="1" pivotButton="0" quotePrefix="0" xfId="0">
      <alignment horizontal="center"/>
    </xf>
    <xf numFmtId="0" fontId="4" fillId="2" borderId="25" applyAlignment="1" pivotButton="0" quotePrefix="0" xfId="0">
      <alignment horizontal="center" vertical="top"/>
    </xf>
    <xf numFmtId="0" fontId="14" fillId="2" borderId="25" applyAlignment="1" pivotButton="0" quotePrefix="0" xfId="0">
      <alignment horizontal="center"/>
    </xf>
    <xf numFmtId="0" fontId="15" fillId="2" borderId="27" applyAlignment="1" pivotButton="0" quotePrefix="0" xfId="0">
      <alignment horizontal="center"/>
    </xf>
    <xf numFmtId="0" fontId="14" fillId="2" borderId="9" pivotButton="0" quotePrefix="0" xfId="0"/>
    <xf numFmtId="0" fontId="4" fillId="2" borderId="24" pivotButton="0" quotePrefix="0" xfId="0"/>
    <xf numFmtId="0" fontId="4" fillId="2" borderId="23" pivotButton="0" quotePrefix="0" xfId="0"/>
    <xf numFmtId="0" fontId="4" fillId="2" borderId="21" applyAlignment="1" pivotButton="0" quotePrefix="0" xfId="0">
      <alignment vertical="center"/>
    </xf>
    <xf numFmtId="0" fontId="4" fillId="2" borderId="21" pivotButton="0" quotePrefix="0" xfId="0"/>
    <xf numFmtId="0" fontId="4" fillId="2" borderId="17" applyAlignment="1" pivotButton="0" quotePrefix="0" xfId="0">
      <alignment horizontal="center"/>
    </xf>
    <xf numFmtId="164" fontId="14" fillId="2" borderId="17" applyAlignment="1" pivotButton="0" quotePrefix="0" xfId="0">
      <alignment horizontal="center"/>
    </xf>
    <xf numFmtId="0" fontId="14" fillId="2" borderId="22" applyAlignment="1" pivotButton="0" quotePrefix="0" xfId="0">
      <alignment horizontal="center"/>
    </xf>
    <xf numFmtId="0" fontId="14" fillId="2" borderId="27" applyAlignment="1" pivotButton="0" quotePrefix="0" xfId="0">
      <alignment horizontal="center"/>
    </xf>
    <xf numFmtId="0" fontId="4" fillId="2" borderId="9" applyProtection="1" pivotButton="0" quotePrefix="0" xfId="1">
      <protection locked="0" hidden="0"/>
    </xf>
    <xf numFmtId="0" fontId="4" fillId="2" borderId="15" applyProtection="1" pivotButton="0" quotePrefix="0" xfId="1">
      <protection locked="0" hidden="0"/>
    </xf>
    <xf numFmtId="0" fontId="14" fillId="2" borderId="1" applyProtection="1" pivotButton="0" quotePrefix="0" xfId="0">
      <protection locked="0" hidden="0"/>
    </xf>
    <xf numFmtId="0" fontId="14" fillId="2" borderId="26" applyAlignment="1" pivotButton="0" quotePrefix="0" xfId="0">
      <alignment horizontal="center"/>
    </xf>
    <xf numFmtId="0" fontId="15" fillId="2" borderId="1" applyAlignment="1" pivotButton="0" quotePrefix="0" xfId="0">
      <alignment horizontal="center"/>
    </xf>
    <xf numFmtId="0" fontId="9" fillId="2" borderId="1" applyAlignment="1" pivotButton="0" quotePrefix="0" xfId="4">
      <alignment horizontal="center" vertical="center"/>
    </xf>
    <xf numFmtId="0" fontId="9" fillId="2" borderId="1" applyAlignment="1" pivotButton="0" quotePrefix="0" xfId="4">
      <alignment horizontal="center" vertical="center" wrapText="1"/>
    </xf>
    <xf numFmtId="0" fontId="8" fillId="2" borderId="1" applyAlignment="1" applyProtection="1" pivotButton="0" quotePrefix="0" xfId="4">
      <alignment horizontal="center" vertical="center"/>
      <protection locked="0" hidden="0"/>
    </xf>
    <xf numFmtId="0" fontId="10" fillId="2" borderId="12" applyAlignment="1" pivotButton="0" quotePrefix="0" xfId="4">
      <alignment horizontal="center" vertical="center"/>
    </xf>
    <xf numFmtId="0" fontId="10" fillId="2" borderId="15" applyAlignment="1" applyProtection="1" pivotButton="0" quotePrefix="0" xfId="4">
      <alignment horizontal="center" vertical="center" wrapText="1"/>
      <protection locked="0" hidden="0"/>
    </xf>
    <xf numFmtId="0" fontId="4" fillId="2" borderId="22" applyAlignment="1" pivotButton="0" quotePrefix="0" xfId="4">
      <alignment horizontal="center" vertical="center"/>
    </xf>
    <xf numFmtId="0" fontId="1" fillId="2" borderId="0" pivotButton="0" quotePrefix="0" xfId="4"/>
    <xf numFmtId="0" fontId="10" fillId="2" borderId="1" applyAlignment="1" applyProtection="1" pivotButton="0" quotePrefix="0" xfId="4">
      <alignment horizontal="center" vertical="center" wrapText="1"/>
      <protection locked="0" hidden="0"/>
    </xf>
    <xf numFmtId="0" fontId="10" fillId="2" borderId="1" applyAlignment="1" applyProtection="1" pivotButton="0" quotePrefix="0" xfId="4">
      <alignment horizontal="center" vertical="center"/>
      <protection locked="0" hidden="0"/>
    </xf>
    <xf numFmtId="0" fontId="14" fillId="2" borderId="17" applyAlignment="1" pivotButton="0" quotePrefix="0" xfId="4">
      <alignment horizontal="center" vertical="center"/>
    </xf>
    <xf numFmtId="0" fontId="14" fillId="2" borderId="32" applyAlignment="1" pivotButton="0" quotePrefix="0" xfId="4">
      <alignment horizontal="center" vertical="center"/>
    </xf>
    <xf numFmtId="2" fontId="10" fillId="2" borderId="32" applyAlignment="1" pivotButton="0" quotePrefix="0" xfId="4">
      <alignment horizontal="center" vertical="center"/>
    </xf>
    <xf numFmtId="0" fontId="6" fillId="12" borderId="6" applyAlignment="1" pivotButton="0" quotePrefix="0" xfId="0">
      <alignment horizontal="center" vertical="center" wrapText="1"/>
    </xf>
    <xf numFmtId="0" fontId="6" fillId="12" borderId="11" applyAlignment="1" pivotButton="0" quotePrefix="0" xfId="0">
      <alignment horizontal="center" vertical="center" wrapText="1"/>
    </xf>
    <xf numFmtId="0" fontId="6" fillId="12" borderId="6" applyAlignment="1" pivotButton="0" quotePrefix="0" xfId="0">
      <alignment horizontal="center" wrapText="1"/>
    </xf>
    <xf numFmtId="0" fontId="6" fillId="12" borderId="30" applyAlignment="1" pivotButton="0" quotePrefix="0" xfId="0">
      <alignment horizontal="center" vertical="center" wrapText="1"/>
    </xf>
    <xf numFmtId="49" fontId="6" fillId="12" borderId="6" applyAlignment="1" applyProtection="1" pivotButton="0" quotePrefix="0" xfId="0">
      <alignment horizontal="center" vertical="center" wrapText="1"/>
      <protection locked="0" hidden="0"/>
    </xf>
    <xf numFmtId="0" fontId="4" fillId="0" borderId="23" applyAlignment="1" pivotButton="0" quotePrefix="0" xfId="0">
      <alignment vertical="center"/>
    </xf>
    <xf numFmtId="0" fontId="5" fillId="0" borderId="27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4" fillId="0" borderId="22" applyAlignment="1" pivotButton="0" quotePrefix="0" xfId="0">
      <alignment vertical="center"/>
    </xf>
    <xf numFmtId="0" fontId="5" fillId="0" borderId="24" applyAlignment="1" pivotButton="0" quotePrefix="0" xfId="0">
      <alignment horizontal="center" vertical="center"/>
    </xf>
    <xf numFmtId="0" fontId="4" fillId="0" borderId="9" applyAlignment="1" pivotButton="0" quotePrefix="0" xfId="0">
      <alignment vertical="center"/>
    </xf>
    <xf numFmtId="0" fontId="5" fillId="13" borderId="24" applyAlignment="1" pivotButton="0" quotePrefix="0" xfId="0">
      <alignment horizontal="center" vertical="center"/>
    </xf>
    <xf numFmtId="0" fontId="4" fillId="0" borderId="12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6" fillId="14" borderId="6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6" applyAlignment="1" pivotButton="0" quotePrefix="0" xfId="0">
      <alignment vertical="top" wrapText="1"/>
    </xf>
    <xf numFmtId="0" fontId="4" fillId="0" borderId="15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6" applyAlignment="1" pivotButton="0" quotePrefix="0" xfId="0">
      <alignment wrapText="1"/>
    </xf>
    <xf numFmtId="0" fontId="10" fillId="0" borderId="6" applyAlignment="1" applyProtection="1" pivotButton="0" quotePrefix="0" xfId="0">
      <alignment vertical="center"/>
      <protection locked="0" hidden="0"/>
    </xf>
    <xf numFmtId="0" fontId="10" fillId="0" borderId="9" applyAlignment="1" applyProtection="1" pivotButton="0" quotePrefix="0" xfId="0">
      <alignment horizontal="center" vertical="center"/>
      <protection locked="0" hidden="0"/>
    </xf>
    <xf numFmtId="0" fontId="10" fillId="0" borderId="9" applyAlignment="1" applyProtection="1" pivotButton="0" quotePrefix="0" xfId="0">
      <alignment horizontal="center" vertical="center" wrapText="1"/>
      <protection locked="0" hidden="0"/>
    </xf>
    <xf numFmtId="0" fontId="6" fillId="14" borderId="11" applyAlignment="1" pivotButton="0" quotePrefix="0" xfId="0">
      <alignment horizontal="center" vertical="center" wrapText="1"/>
    </xf>
    <xf numFmtId="0" fontId="6" fillId="14" borderId="6" applyAlignment="1" pivotButton="0" quotePrefix="0" xfId="0">
      <alignment horizontal="center" vertical="center" wrapText="1"/>
    </xf>
    <xf numFmtId="0" fontId="9" fillId="0" borderId="6" applyAlignment="1" pivotButton="0" quotePrefix="0" xfId="0">
      <alignment vertical="center" wrapText="1"/>
    </xf>
    <xf numFmtId="0" fontId="4" fillId="0" borderId="6" applyAlignment="1" pivotButton="0" quotePrefix="0" xfId="0">
      <alignment vertical="center"/>
    </xf>
    <xf numFmtId="0" fontId="10" fillId="0" borderId="9" applyAlignment="1" pivotButton="0" quotePrefix="0" xfId="0">
      <alignment vertical="center"/>
    </xf>
    <xf numFmtId="0" fontId="9" fillId="0" borderId="6" applyAlignment="1" applyProtection="1" pivotButton="0" quotePrefix="0" xfId="0">
      <alignment horizontal="left" vertical="center"/>
      <protection locked="0" hidden="0"/>
    </xf>
    <xf numFmtId="0" fontId="10" fillId="0" borderId="15" applyAlignment="1" applyProtection="1" pivotButton="0" quotePrefix="0" xfId="0">
      <alignment horizontal="center" vertical="center"/>
      <protection locked="0" hidden="0"/>
    </xf>
    <xf numFmtId="0" fontId="9" fillId="0" borderId="6" applyAlignment="1" applyProtection="1" pivotButton="0" quotePrefix="0" xfId="0">
      <alignment horizontal="left" vertical="center" wrapText="1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4" fillId="0" borderId="6" applyAlignment="1" pivotButton="0" quotePrefix="0" xfId="0">
      <alignment vertical="center" wrapText="1"/>
    </xf>
    <xf numFmtId="0" fontId="10" fillId="0" borderId="6" pivotButton="0" quotePrefix="0" xfId="0"/>
    <xf numFmtId="0" fontId="6" fillId="14" borderId="6" applyAlignment="1" pivotButton="0" quotePrefix="0" xfId="0">
      <alignment horizontal="center" wrapText="1"/>
    </xf>
    <xf numFmtId="0" fontId="4" fillId="0" borderId="16" applyAlignment="1" pivotButton="0" quotePrefix="0" xfId="0">
      <alignment vertical="center"/>
    </xf>
    <xf numFmtId="0" fontId="6" fillId="14" borderId="30" applyAlignment="1" pivotButton="0" quotePrefix="0" xfId="0">
      <alignment horizontal="center" vertical="center" wrapText="1"/>
    </xf>
    <xf numFmtId="16" fontId="10" fillId="0" borderId="30" applyAlignment="1" pivotButton="0" quotePrefix="0" xfId="0">
      <alignment horizontal="left" vertical="center" wrapText="1"/>
    </xf>
    <xf numFmtId="0" fontId="6" fillId="14" borderId="0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4" fillId="0" borderId="16" applyAlignment="1" applyProtection="1" pivotButton="0" quotePrefix="0" xfId="0">
      <alignment horizontal="center" vertical="center"/>
      <protection locked="0" hidden="0"/>
    </xf>
    <xf numFmtId="49" fontId="6" fillId="14" borderId="6" applyAlignment="1" applyProtection="1" pivotButton="0" quotePrefix="0" xfId="0">
      <alignment horizontal="center" vertical="center" wrapText="1"/>
      <protection locked="0" hidden="0"/>
    </xf>
    <xf numFmtId="0" fontId="10" fillId="0" borderId="6" applyAlignment="1" pivotButton="0" quotePrefix="0" xfId="0">
      <alignment horizontal="left"/>
    </xf>
    <xf numFmtId="0" fontId="25" fillId="0" borderId="15" applyAlignment="1" pivotButton="0" quotePrefix="0" xfId="0">
      <alignment horizontal="center"/>
    </xf>
    <xf numFmtId="0" fontId="10" fillId="0" borderId="15" applyAlignment="1" pivotButton="0" quotePrefix="0" xfId="0">
      <alignment horizontal="center" wrapText="1"/>
    </xf>
    <xf numFmtId="1" fontId="10" fillId="0" borderId="15" applyAlignment="1" pivotButton="0" quotePrefix="0" xfId="0">
      <alignment horizontal="center"/>
    </xf>
    <xf numFmtId="0" fontId="10" fillId="0" borderId="30" applyAlignment="1" pivotButton="0" quotePrefix="0" xfId="0">
      <alignment vertical="center" wrapText="1"/>
    </xf>
    <xf numFmtId="1" fontId="10" fillId="0" borderId="6" applyAlignment="1" pivotButton="0" quotePrefix="0" xfId="0">
      <alignment horizontal="left" vertical="center"/>
    </xf>
    <xf numFmtId="0" fontId="9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15" borderId="33" applyAlignment="1" pivotButton="0" quotePrefix="0" xfId="4">
      <alignment horizontal="center" vertical="center" wrapText="1"/>
    </xf>
    <xf numFmtId="0" fontId="15" fillId="16" borderId="17" applyAlignment="1" pivotButton="0" quotePrefix="0" xfId="0">
      <alignment horizontal="center"/>
    </xf>
    <xf numFmtId="0" fontId="4" fillId="17" borderId="20" applyAlignment="1" pivotButton="0" quotePrefix="0" xfId="0">
      <alignment horizontal="center"/>
    </xf>
    <xf numFmtId="0" fontId="5" fillId="4" borderId="6" applyAlignment="1" pivotButton="0" quotePrefix="0" xfId="4">
      <alignment horizontal="center" vertical="center"/>
    </xf>
    <xf numFmtId="0" fontId="5" fillId="4" borderId="7" applyAlignment="1" pivotButton="0" quotePrefix="0" xfId="4">
      <alignment horizontal="center" vertical="center"/>
    </xf>
    <xf numFmtId="0" fontId="4" fillId="17" borderId="7" applyAlignment="1" pivotButton="0" quotePrefix="0" xfId="0">
      <alignment horizontal="center"/>
    </xf>
    <xf numFmtId="2" fontId="4" fillId="17" borderId="8" applyAlignment="1" pivotButton="0" quotePrefix="0" xfId="0">
      <alignment horizontal="center"/>
    </xf>
    <xf numFmtId="0" fontId="4" fillId="0" borderId="26" applyAlignment="1" pivotButton="0" quotePrefix="0" xfId="0">
      <alignment horizontal="center" vertical="top"/>
    </xf>
    <xf numFmtId="0" fontId="14" fillId="0" borderId="1" applyAlignment="1" pivotButton="0" quotePrefix="0" xfId="0">
      <alignment horizontal="center" vertical="center"/>
    </xf>
    <xf numFmtId="2" fontId="14" fillId="0" borderId="25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/>
    </xf>
    <xf numFmtId="0" fontId="4" fillId="0" borderId="18" applyAlignment="1" pivotButton="0" quotePrefix="0" xfId="0">
      <alignment horizontal="center" vertical="top"/>
    </xf>
    <xf numFmtId="2" fontId="14" fillId="0" borderId="33" applyAlignment="1" pivotButton="0" quotePrefix="0" xfId="0">
      <alignment horizontal="center" vertical="center"/>
    </xf>
    <xf numFmtId="0" fontId="14" fillId="2" borderId="18" applyAlignment="1" pivotButton="0" quotePrefix="0" xfId="0">
      <alignment horizontal="center"/>
    </xf>
    <xf numFmtId="0" fontId="14" fillId="0" borderId="18" applyAlignment="1" pivotButton="0" quotePrefix="0" xfId="0">
      <alignment horizontal="center"/>
    </xf>
    <xf numFmtId="0" fontId="5" fillId="0" borderId="26" applyAlignment="1" pivotButton="0" quotePrefix="0" xfId="0">
      <alignment horizontal="left"/>
    </xf>
    <xf numFmtId="0" fontId="5" fillId="2" borderId="7" applyAlignment="1" pivotButton="0" quotePrefix="0" xfId="4">
      <alignment horizontal="center" vertical="center"/>
    </xf>
    <xf numFmtId="2" fontId="14" fillId="0" borderId="1" applyAlignment="1" pivotButton="0" quotePrefix="0" xfId="0">
      <alignment horizontal="center" vertical="center"/>
    </xf>
    <xf numFmtId="0" fontId="14" fillId="2" borderId="31" applyAlignment="1" pivotButton="0" quotePrefix="0" xfId="0">
      <alignment horizontal="center"/>
    </xf>
    <xf numFmtId="0" fontId="4" fillId="2" borderId="18" pivotButton="0" quotePrefix="0" xfId="0"/>
    <xf numFmtId="0" fontId="8" fillId="4" borderId="6" applyAlignment="1" pivotButton="0" quotePrefix="0" xfId="4">
      <alignment horizontal="center" vertical="center" wrapText="1"/>
    </xf>
    <xf numFmtId="0" fontId="9" fillId="0" borderId="1" applyAlignment="1" pivotButton="0" quotePrefix="0" xfId="4">
      <alignment horizontal="left" vertical="center" wrapText="1"/>
    </xf>
    <xf numFmtId="0" fontId="4" fillId="0" borderId="15" applyAlignment="1" applyProtection="1" pivotButton="0" quotePrefix="0" xfId="4">
      <alignment horizontal="center" vertical="center"/>
      <protection locked="0" hidden="0"/>
    </xf>
    <xf numFmtId="0" fontId="4" fillId="2" borderId="15" applyProtection="1" pivotButton="0" quotePrefix="0" xfId="4">
      <protection locked="0" hidden="0"/>
    </xf>
    <xf numFmtId="0" fontId="4" fillId="0" borderId="1" applyAlignment="1" pivotButton="0" quotePrefix="0" xfId="4">
      <alignment vertical="center" wrapText="1"/>
    </xf>
    <xf numFmtId="0" fontId="4" fillId="0" borderId="1" applyAlignment="1" pivotButton="0" quotePrefix="0" xfId="4">
      <alignment horizontal="center" vertical="center" wrapText="1"/>
    </xf>
    <xf numFmtId="0" fontId="4" fillId="2" borderId="1" applyProtection="1" pivotButton="0" quotePrefix="0" xfId="4">
      <protection locked="0" hidden="0"/>
    </xf>
    <xf numFmtId="0" fontId="9" fillId="2" borderId="1" applyAlignment="1" pivotButton="0" quotePrefix="0" xfId="4">
      <alignment horizontal="left" vertical="center" wrapText="1"/>
    </xf>
    <xf numFmtId="0" fontId="4" fillId="2" borderId="1" applyAlignment="1" pivotButton="0" quotePrefix="0" xfId="4">
      <alignment horizontal="center" vertical="center" wrapText="1"/>
    </xf>
    <xf numFmtId="0" fontId="4" fillId="0" borderId="1" applyAlignment="1" pivotButton="0" quotePrefix="0" xfId="4">
      <alignment vertical="top" wrapText="1"/>
    </xf>
    <xf numFmtId="0" fontId="4" fillId="0" borderId="9" applyAlignment="1" pivotButton="0" quotePrefix="0" xfId="4">
      <alignment vertical="top" wrapText="1"/>
    </xf>
    <xf numFmtId="0" fontId="4" fillId="0" borderId="9" applyAlignment="1" applyProtection="1" pivotButton="0" quotePrefix="0" xfId="4">
      <alignment horizontal="center" vertical="center"/>
      <protection locked="0" hidden="0"/>
    </xf>
    <xf numFmtId="2" fontId="4" fillId="2" borderId="9" applyAlignment="1" applyProtection="1" pivotButton="0" quotePrefix="0" xfId="4">
      <alignment horizontal="center" vertical="center"/>
      <protection locked="0" hidden="0"/>
    </xf>
    <xf numFmtId="0" fontId="4" fillId="2" borderId="9" applyProtection="1" pivotButton="0" quotePrefix="0" xfId="4">
      <protection locked="0" hidden="0"/>
    </xf>
    <xf numFmtId="0" fontId="4" fillId="0" borderId="15" applyAlignment="1" pivotButton="0" quotePrefix="0" xfId="4">
      <alignment vertical="top" wrapText="1"/>
    </xf>
    <xf numFmtId="2" fontId="4" fillId="2" borderId="15" applyAlignment="1" applyProtection="1" pivotButton="0" quotePrefix="0" xfId="4">
      <alignment horizontal="center" vertical="center"/>
      <protection locked="0" hidden="0"/>
    </xf>
    <xf numFmtId="0" fontId="4" fillId="0" borderId="1" applyAlignment="1" pivotButton="0" quotePrefix="0" xfId="4">
      <alignment horizontal="left" vertical="center" wrapText="1"/>
    </xf>
    <xf numFmtId="0" fontId="4" fillId="0" borderId="1" applyAlignment="1" pivotButton="0" quotePrefix="0" xfId="4">
      <alignment wrapText="1"/>
    </xf>
    <xf numFmtId="2" fontId="4" fillId="0" borderId="1" applyAlignment="1" applyProtection="1" pivotButton="0" quotePrefix="0" xfId="4">
      <alignment horizontal="center" vertical="center"/>
      <protection locked="0" hidden="0"/>
    </xf>
    <xf numFmtId="2" fontId="4" fillId="0" borderId="9" applyAlignment="1" applyProtection="1" pivotButton="0" quotePrefix="0" xfId="4">
      <alignment horizontal="center" vertical="center"/>
      <protection locked="0" hidden="0"/>
    </xf>
    <xf numFmtId="0" fontId="9" fillId="0" borderId="1" applyAlignment="1" pivotButton="0" quotePrefix="0" xfId="4">
      <alignment horizontal="left" vertical="top" wrapText="1"/>
    </xf>
    <xf numFmtId="0" fontId="9" fillId="0" borderId="15" applyAlignment="1" pivotButton="0" quotePrefix="0" xfId="4">
      <alignment horizontal="left" vertical="center" wrapText="1"/>
    </xf>
    <xf numFmtId="0" fontId="5" fillId="4" borderId="6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/>
    </xf>
    <xf numFmtId="0" fontId="10" fillId="0" borderId="28" applyAlignment="1" pivotButton="0" quotePrefix="0" xfId="1">
      <alignment horizontal="center" vertical="center"/>
    </xf>
    <xf numFmtId="0" fontId="4" fillId="2" borderId="15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/>
    </xf>
    <xf numFmtId="0" fontId="10" fillId="0" borderId="7" applyAlignment="1" pivotButton="0" quotePrefix="0" xfId="1">
      <alignment horizontal="center" vertical="center"/>
    </xf>
    <xf numFmtId="0" fontId="10" fillId="0" borderId="9" applyAlignment="1" pivotButton="0" quotePrefix="0" xfId="1">
      <alignment horizontal="center" vertical="center" wrapText="1"/>
    </xf>
    <xf numFmtId="0" fontId="10" fillId="0" borderId="9" applyAlignment="1" pivotButton="0" quotePrefix="0" xfId="1">
      <alignment horizontal="center" vertical="center"/>
    </xf>
    <xf numFmtId="0" fontId="4" fillId="2" borderId="9" applyAlignment="1" pivotButton="0" quotePrefix="0" xfId="1">
      <alignment horizontal="center" vertical="center"/>
    </xf>
    <xf numFmtId="2" fontId="4" fillId="0" borderId="1" applyAlignment="1" pivotButton="0" quotePrefix="0" xfId="0">
      <alignment horizontal="center" vertical="center"/>
    </xf>
    <xf numFmtId="2" fontId="4" fillId="0" borderId="15" applyAlignment="1" pivotButton="0" quotePrefix="0" xfId="0">
      <alignment horizontal="center" vertical="center"/>
    </xf>
    <xf numFmtId="0" fontId="5" fillId="4" borderId="1" applyAlignment="1" pivotButton="0" quotePrefix="0" xfId="4">
      <alignment horizontal="center" vertical="center" wrapText="1"/>
    </xf>
    <xf numFmtId="0" fontId="4" fillId="0" borderId="0" applyAlignment="1" pivotButton="0" quotePrefix="0" xfId="4">
      <alignment vertical="center" wrapText="1"/>
    </xf>
    <xf numFmtId="0" fontId="4" fillId="0" borderId="0" applyAlignment="1" pivotButton="0" quotePrefix="0" xfId="4">
      <alignment horizontal="center" vertical="center"/>
    </xf>
    <xf numFmtId="0" fontId="14" fillId="0" borderId="0" applyAlignment="1" pivotButton="0" quotePrefix="0" xfId="4">
      <alignment horizontal="center" vertical="center"/>
    </xf>
    <xf numFmtId="0" fontId="14" fillId="2" borderId="0" applyAlignment="1" pivotButton="0" quotePrefix="0" xfId="4">
      <alignment horizontal="center" vertical="center"/>
    </xf>
    <xf numFmtId="0" fontId="4" fillId="2" borderId="0" applyAlignment="1" pivotButton="0" quotePrefix="0" xfId="4">
      <alignment vertical="center"/>
    </xf>
    <xf numFmtId="0" fontId="15" fillId="2" borderId="0" applyAlignment="1" pivotButton="0" quotePrefix="0" xfId="4">
      <alignment horizontal="right" vertical="center"/>
    </xf>
    <xf numFmtId="0" fontId="3" fillId="2" borderId="15" applyAlignment="1" pivotButton="0" quotePrefix="0" xfId="4">
      <alignment horizontal="center" vertical="center"/>
    </xf>
    <xf numFmtId="0" fontId="14" fillId="0" borderId="0" applyAlignment="1" pivotButton="0" quotePrefix="0" xfId="4">
      <alignment horizontal="left" vertical="top" wrapText="1"/>
    </xf>
    <xf numFmtId="0" fontId="9" fillId="2" borderId="0" applyAlignment="1" pivotButton="0" quotePrefix="0" xfId="4">
      <alignment horizontal="center" vertical="center"/>
    </xf>
    <xf numFmtId="0" fontId="8" fillId="2" borderId="0" applyAlignment="1" pivotButton="0" quotePrefix="0" xfId="4">
      <alignment horizontal="right" vertical="center"/>
    </xf>
    <xf numFmtId="0" fontId="8" fillId="2" borderId="14" applyAlignment="1" pivotButton="0" quotePrefix="0" xfId="4">
      <alignment horizontal="right" vertical="center"/>
    </xf>
    <xf numFmtId="2" fontId="8" fillId="0" borderId="1" applyAlignment="1" pivotButton="0" quotePrefix="0" xfId="4">
      <alignment horizontal="center" vertical="center"/>
    </xf>
    <xf numFmtId="0" fontId="14" fillId="0" borderId="0" applyAlignment="1" pivotButton="0" quotePrefix="0" xfId="4">
      <alignment horizontal="center" vertical="top" wrapText="1"/>
    </xf>
    <xf numFmtId="0" fontId="14" fillId="0" borderId="0" applyAlignment="1" pivotButton="0" quotePrefix="0" xfId="4">
      <alignment vertical="center"/>
    </xf>
    <xf numFmtId="0" fontId="14" fillId="2" borderId="0" applyAlignment="1" pivotButton="0" quotePrefix="0" xfId="4">
      <alignment vertical="center"/>
    </xf>
    <xf numFmtId="0" fontId="4" fillId="0" borderId="0" applyAlignment="1" pivotButton="0" quotePrefix="0" xfId="4">
      <alignment vertical="center"/>
    </xf>
    <xf numFmtId="0" fontId="15" fillId="2" borderId="0" applyAlignment="1" pivotButton="0" quotePrefix="0" xfId="4">
      <alignment vertical="center"/>
    </xf>
    <xf numFmtId="2" fontId="8" fillId="0" borderId="9" applyAlignment="1" pivotButton="0" quotePrefix="0" xfId="4">
      <alignment horizontal="center" vertical="center"/>
    </xf>
    <xf numFmtId="0" fontId="9" fillId="0" borderId="0" applyAlignment="1" applyProtection="1" pivotButton="0" quotePrefix="0" xfId="4">
      <alignment vertical="center" wrapText="1"/>
      <protection locked="0" hidden="0"/>
    </xf>
    <xf numFmtId="0" fontId="9" fillId="0" borderId="0" applyAlignment="1" applyProtection="1" pivotButton="0" quotePrefix="0" xfId="4">
      <alignment vertical="center"/>
      <protection locked="0" hidden="0"/>
    </xf>
    <xf numFmtId="0" fontId="9" fillId="2" borderId="0" applyAlignment="1" applyProtection="1" pivotButton="0" quotePrefix="0" xfId="4">
      <alignment vertical="center"/>
      <protection locked="0" hidden="0"/>
    </xf>
    <xf numFmtId="0" fontId="9" fillId="2" borderId="0" applyAlignment="1" applyProtection="1" pivotButton="0" quotePrefix="0" xfId="4">
      <alignment horizontal="center" vertical="center"/>
      <protection locked="0" hidden="0"/>
    </xf>
    <xf numFmtId="2" fontId="3" fillId="8" borderId="1" applyAlignment="1" pivotButton="0" quotePrefix="0" xfId="4">
      <alignment horizontal="center" vertical="center"/>
    </xf>
    <xf numFmtId="0" fontId="8" fillId="2" borderId="0" applyAlignment="1" applyProtection="1" pivotButton="0" quotePrefix="0" xfId="4">
      <alignment vertical="center"/>
      <protection locked="0" hidden="0"/>
    </xf>
    <xf numFmtId="2" fontId="15" fillId="0" borderId="0" applyAlignment="1" pivotButton="0" quotePrefix="0" xfId="4">
      <alignment vertical="center"/>
    </xf>
    <xf numFmtId="0" fontId="14" fillId="2" borderId="0" applyAlignment="1" applyProtection="1" pivotButton="0" quotePrefix="0" xfId="4">
      <alignment vertical="center"/>
      <protection locked="0" hidden="0"/>
    </xf>
    <xf numFmtId="0" fontId="9" fillId="2" borderId="0" applyAlignment="1" applyProtection="1" pivotButton="0" quotePrefix="0" xfId="4">
      <alignment horizontal="left" vertical="center"/>
      <protection locked="0" hidden="0"/>
    </xf>
    <xf numFmtId="0" fontId="4" fillId="2" borderId="0" pivotButton="0" quotePrefix="0" xfId="4"/>
    <xf numFmtId="2" fontId="4" fillId="0" borderId="0" pivotButton="0" quotePrefix="0" xfId="4"/>
    <xf numFmtId="0" fontId="1" fillId="0" borderId="0" applyAlignment="1" pivotButton="0" quotePrefix="0" xfId="4">
      <alignment wrapText="1"/>
    </xf>
    <xf numFmtId="0" fontId="1" fillId="0" borderId="0" pivotButton="0" quotePrefix="0" xfId="4"/>
    <xf numFmtId="2" fontId="1" fillId="0" borderId="0" pivotButton="0" quotePrefix="0" xfId="4"/>
    <xf numFmtId="164" fontId="14" fillId="2" borderId="18" applyAlignment="1" pivotButton="0" quotePrefix="0" xfId="0">
      <alignment horizontal="center"/>
    </xf>
    <xf numFmtId="0" fontId="15" fillId="2" borderId="7" applyAlignment="1" pivotButton="0" quotePrefix="0" xfId="0">
      <alignment horizontal="center"/>
    </xf>
    <xf numFmtId="0" fontId="4" fillId="2" borderId="7" pivotButton="0" quotePrefix="0" xfId="0"/>
    <xf numFmtId="0" fontId="4" fillId="2" borderId="7" applyProtection="1" pivotButton="0" quotePrefix="0" xfId="4">
      <protection locked="0" hidden="0"/>
    </xf>
    <xf numFmtId="0" fontId="8" fillId="2" borderId="7" applyAlignment="1" applyProtection="1" pivotButton="0" quotePrefix="0" xfId="4">
      <alignment horizontal="center" vertical="center"/>
      <protection locked="0" hidden="0"/>
    </xf>
    <xf numFmtId="0" fontId="8" fillId="2" borderId="15" applyAlignment="1" applyProtection="1" pivotButton="0" quotePrefix="0" xfId="4">
      <alignment horizontal="center" vertical="center"/>
      <protection locked="0" hidden="0"/>
    </xf>
    <xf numFmtId="0" fontId="8" fillId="2" borderId="9" applyAlignment="1" applyProtection="1" pivotButton="0" quotePrefix="0" xfId="4">
      <alignment horizontal="center" vertical="center"/>
      <protection locked="0" hidden="0"/>
    </xf>
    <xf numFmtId="0" fontId="8" fillId="2" borderId="7" applyAlignment="1" pivotButton="0" quotePrefix="0" xfId="4">
      <alignment vertical="center" wrapText="1"/>
    </xf>
    <xf numFmtId="0" fontId="8" fillId="2" borderId="16" applyAlignment="1" applyProtection="1" pivotButton="0" quotePrefix="0" xfId="4">
      <alignment horizontal="center" vertical="center"/>
      <protection locked="0" hidden="0"/>
    </xf>
    <xf numFmtId="0" fontId="8" fillId="2" borderId="7" applyAlignment="1" pivotButton="0" quotePrefix="0" xfId="4">
      <alignment horizontal="center" vertical="center" wrapText="1"/>
    </xf>
    <xf numFmtId="0" fontId="4" fillId="2" borderId="7" applyAlignment="1" pivotButton="0" quotePrefix="0" xfId="1">
      <alignment horizontal="center" vertical="center"/>
    </xf>
    <xf numFmtId="0" fontId="4" fillId="2" borderId="7" applyAlignment="1" pivotButton="0" quotePrefix="0" xfId="4">
      <alignment vertical="center"/>
    </xf>
    <xf numFmtId="0" fontId="15" fillId="0" borderId="31" applyAlignment="1" pivotButton="0" quotePrefix="0" xfId="0">
      <alignment horizontal="center"/>
    </xf>
    <xf numFmtId="0" fontId="15" fillId="0" borderId="8" applyAlignment="1" pivotButton="0" quotePrefix="0" xfId="0">
      <alignment horizontal="center"/>
    </xf>
    <xf numFmtId="0" fontId="8" fillId="0" borderId="15" applyAlignment="1" applyProtection="1" pivotButton="0" quotePrefix="0" xfId="4">
      <alignment horizontal="center" vertical="center"/>
      <protection locked="0" hidden="0"/>
    </xf>
    <xf numFmtId="0" fontId="8" fillId="0" borderId="9" applyAlignment="1" applyProtection="1" pivotButton="0" quotePrefix="0" xfId="4">
      <alignment horizontal="center" vertical="center"/>
      <protection locked="0" hidden="0"/>
    </xf>
    <xf numFmtId="0" fontId="8" fillId="0" borderId="16" applyAlignment="1" applyProtection="1" pivotButton="0" quotePrefix="0" xfId="4">
      <alignment horizontal="center" vertical="center"/>
      <protection locked="0" hidden="0"/>
    </xf>
    <xf numFmtId="0" fontId="4" fillId="2" borderId="6" applyAlignment="1" pivotButton="0" quotePrefix="0" xfId="4">
      <alignment horizontal="center" vertical="center"/>
    </xf>
    <xf numFmtId="0" fontId="4" fillId="2" borderId="7" applyAlignment="1" pivotButton="0" quotePrefix="0" xfId="4">
      <alignment horizontal="center" vertical="center"/>
    </xf>
    <xf numFmtId="0" fontId="4" fillId="2" borderId="8" applyAlignment="1" pivotButton="0" quotePrefix="0" xfId="4">
      <alignment vertical="center"/>
    </xf>
    <xf numFmtId="0" fontId="8" fillId="2" borderId="8" applyAlignment="1" applyProtection="1" pivotButton="0" quotePrefix="0" xfId="0">
      <alignment horizontal="center" vertical="center"/>
      <protection locked="0" hidden="0"/>
    </xf>
    <xf numFmtId="0" fontId="4" fillId="2" borderId="6" applyAlignment="1" applyProtection="1" pivotButton="0" quotePrefix="0" xfId="4">
      <alignment horizontal="center" vertical="center"/>
      <protection locked="0" hidden="0"/>
    </xf>
    <xf numFmtId="0" fontId="4" fillId="2" borderId="7" applyAlignment="1" applyProtection="1" pivotButton="0" quotePrefix="0" xfId="4">
      <alignment horizontal="center" vertical="center"/>
      <protection locked="0" hidden="0"/>
    </xf>
    <xf numFmtId="2" fontId="4" fillId="2" borderId="7" applyAlignment="1" applyProtection="1" pivotButton="0" quotePrefix="0" xfId="4">
      <alignment horizontal="center" vertical="center"/>
      <protection locked="0" hidden="0"/>
    </xf>
    <xf numFmtId="0" fontId="8" fillId="2" borderId="8" applyAlignment="1" applyProtection="1" pivotButton="0" quotePrefix="0" xfId="4">
      <alignment horizontal="center" vertical="center"/>
      <protection locked="0" hidden="0"/>
    </xf>
    <xf numFmtId="0" fontId="4" fillId="2" borderId="6" applyAlignment="1" pivotButton="0" quotePrefix="0" xfId="1">
      <alignment horizontal="center" vertical="center"/>
    </xf>
    <xf numFmtId="0" fontId="4" fillId="2" borderId="7" applyAlignment="1" pivotButton="0" quotePrefix="0" xfId="1">
      <alignment horizontal="center"/>
    </xf>
    <xf numFmtId="0" fontId="4" fillId="2" borderId="8" applyAlignment="1" pivotButton="0" quotePrefix="0" xfId="1">
      <alignment horizontal="center" vertical="center"/>
    </xf>
    <xf numFmtId="0" fontId="8" fillId="2" borderId="6" applyAlignment="1" pivotButton="0" quotePrefix="0" xfId="4">
      <alignment horizontal="center" vertical="center" wrapText="1"/>
    </xf>
    <xf numFmtId="0" fontId="8" fillId="2" borderId="6" applyAlignment="1" pivotButton="0" quotePrefix="0" xfId="4">
      <alignment vertical="center" wrapText="1"/>
    </xf>
    <xf numFmtId="0" fontId="8" fillId="2" borderId="8" applyAlignment="1" pivotButton="0" quotePrefix="0" xfId="4">
      <alignment vertical="center" wrapText="1"/>
    </xf>
    <xf numFmtId="0" fontId="8" fillId="0" borderId="8" applyAlignment="1" applyProtection="1" pivotButton="0" quotePrefix="0" xfId="1">
      <alignment horizontal="center" vertical="center"/>
      <protection locked="0" hidden="0"/>
    </xf>
    <xf numFmtId="0" fontId="4" fillId="0" borderId="8" applyAlignment="1" pivotButton="0" quotePrefix="0" xfId="1">
      <alignment vertical="center"/>
    </xf>
    <xf numFmtId="0" fontId="8" fillId="2" borderId="14" applyAlignment="1" applyProtection="1" pivotButton="0" quotePrefix="0" xfId="1">
      <alignment horizontal="center" vertical="center"/>
      <protection locked="0" hidden="0"/>
    </xf>
    <xf numFmtId="0" fontId="8" fillId="2" borderId="8" applyAlignment="1" applyProtection="1" pivotButton="0" quotePrefix="0" xfId="1">
      <alignment horizontal="center" vertical="center"/>
      <protection locked="0" hidden="0"/>
    </xf>
    <xf numFmtId="0" fontId="15" fillId="2" borderId="15" applyAlignment="1" pivotButton="0" quotePrefix="0" xfId="1">
      <alignment horizontal="center" vertical="center"/>
    </xf>
    <xf numFmtId="2" fontId="3" fillId="8" borderId="17" applyAlignment="1" pivotButton="0" quotePrefix="0" xfId="1">
      <alignment horizontal="center" vertical="center"/>
    </xf>
    <xf numFmtId="2" fontId="3" fillId="8" borderId="1" applyAlignment="1" pivotButton="0" quotePrefix="0" xfId="1">
      <alignment horizontal="center" vertical="center"/>
    </xf>
    <xf numFmtId="0" fontId="15" fillId="0" borderId="23" applyAlignment="1" pivotButton="0" quotePrefix="0" xfId="0">
      <alignment horizontal="center"/>
    </xf>
    <xf numFmtId="0" fontId="14" fillId="0" borderId="9" pivotButton="0" quotePrefix="0" xfId="0"/>
    <xf numFmtId="0" fontId="14" fillId="0" borderId="7" pivotButton="0" quotePrefix="0" xfId="0"/>
    <xf numFmtId="0" fontId="14" fillId="0" borderId="15" pivotButton="0" quotePrefix="0" xfId="0"/>
    <xf numFmtId="0" fontId="14" fillId="0" borderId="1" pivotButton="0" quotePrefix="0" xfId="0"/>
    <xf numFmtId="164" fontId="14" fillId="0" borderId="17" applyAlignment="1" pivotButton="0" quotePrefix="0" xfId="0">
      <alignment horizontal="center"/>
    </xf>
    <xf numFmtId="0" fontId="14" fillId="0" borderId="20" applyAlignment="1" pivotButton="0" quotePrefix="0" xfId="0">
      <alignment vertical="center"/>
    </xf>
    <xf numFmtId="0" fontId="4" fillId="0" borderId="7" applyProtection="1" pivotButton="0" quotePrefix="0" xfId="1">
      <protection locked="0" hidden="0"/>
    </xf>
    <xf numFmtId="0" fontId="26" fillId="0" borderId="0" pivotButton="0" quotePrefix="0" xfId="0"/>
    <xf numFmtId="0" fontId="24" fillId="0" borderId="0" applyAlignment="1" applyProtection="1" pivotButton="0" quotePrefix="0" xfId="1">
      <alignment horizontal="center" vertical="center"/>
      <protection locked="0" hidden="0"/>
    </xf>
    <xf numFmtId="0" fontId="8" fillId="0" borderId="0" applyAlignment="1" pivotButton="0" quotePrefix="0" xfId="1">
      <alignment horizontal="right" vertical="center"/>
    </xf>
    <xf numFmtId="2" fontId="8" fillId="0" borderId="1" applyAlignment="1" pivotButton="0" quotePrefix="0" xfId="1">
      <alignment horizontal="center" vertical="center"/>
    </xf>
    <xf numFmtId="2" fontId="8" fillId="0" borderId="9" applyAlignment="1" pivotButton="0" quotePrefix="0" xfId="1">
      <alignment horizontal="center" vertical="center"/>
    </xf>
    <xf numFmtId="0" fontId="9" fillId="0" borderId="0" applyAlignment="1" applyProtection="1" pivotButton="0" quotePrefix="0" xfId="1">
      <alignment horizontal="left" vertical="center"/>
      <protection locked="0" hidden="0"/>
    </xf>
    <xf numFmtId="0" fontId="8" fillId="0" borderId="0" applyAlignment="1" applyProtection="1" pivotButton="0" quotePrefix="0" xfId="1">
      <alignment vertical="center"/>
      <protection locked="0" hidden="0"/>
    </xf>
    <xf numFmtId="0" fontId="8" fillId="0" borderId="0" applyAlignment="1" pivotButton="0" quotePrefix="0" xfId="1">
      <alignment vertical="center"/>
    </xf>
    <xf numFmtId="2" fontId="8" fillId="0" borderId="0" applyAlignment="1" pivotButton="0" quotePrefix="0" xfId="1">
      <alignment vertical="center"/>
    </xf>
    <xf numFmtId="2" fontId="4" fillId="0" borderId="0" applyProtection="1" pivotButton="0" quotePrefix="0" xfId="1">
      <protection locked="0" hidden="0"/>
    </xf>
    <xf numFmtId="0" fontId="8" fillId="0" borderId="14" applyAlignment="1" applyProtection="1" pivotButton="0" quotePrefix="0" xfId="1">
      <alignment horizontal="center" vertical="center"/>
      <protection locked="0" hidden="0"/>
    </xf>
    <xf numFmtId="0" fontId="5" fillId="2" borderId="0" applyAlignment="1" pivotButton="0" quotePrefix="0" xfId="1">
      <alignment horizontal="right" vertical="center"/>
    </xf>
    <xf numFmtId="0" fontId="19" fillId="2" borderId="27" pivotButton="0" quotePrefix="0" xfId="1"/>
    <xf numFmtId="0" fontId="15" fillId="2" borderId="0" applyAlignment="1" pivotButton="0" quotePrefix="0" xfId="1">
      <alignment horizontal="right" vertical="center"/>
    </xf>
    <xf numFmtId="0" fontId="14" fillId="2" borderId="0" applyAlignment="1" pivotButton="0" quotePrefix="0" xfId="1">
      <alignment horizontal="left" vertical="center"/>
    </xf>
    <xf numFmtId="0" fontId="20" fillId="2" borderId="0" applyAlignment="1" pivotButton="0" quotePrefix="0" xfId="1">
      <alignment horizontal="left"/>
    </xf>
    <xf numFmtId="0" fontId="14" fillId="2" borderId="0" applyAlignment="1" pivotButton="0" quotePrefix="0" xfId="1">
      <alignment horizontal="center" vertical="center"/>
    </xf>
    <xf numFmtId="0" fontId="20" fillId="2" borderId="0" pivotButton="0" quotePrefix="0" xfId="1"/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/>
    </xf>
    <xf numFmtId="0" fontId="4" fillId="3" borderId="7" applyAlignment="1" pivotButton="0" quotePrefix="0" xfId="0">
      <alignment horizontal="center"/>
    </xf>
    <xf numFmtId="0" fontId="4" fillId="3" borderId="8" applyAlignment="1" pivotButton="0" quotePrefix="0" xfId="0">
      <alignment horizontal="center"/>
    </xf>
    <xf numFmtId="0" fontId="9" fillId="2" borderId="6" applyAlignment="1" applyProtection="1" pivotButton="0" quotePrefix="0" xfId="2">
      <alignment horizontal="center" vertical="center" wrapText="1"/>
      <protection locked="0" hidden="0"/>
    </xf>
    <xf numFmtId="0" fontId="9" fillId="2" borderId="8" applyAlignment="1" applyProtection="1" pivotButton="0" quotePrefix="0" xfId="2">
      <alignment horizontal="center" vertical="center" wrapText="1"/>
      <protection locked="0" hidden="0"/>
    </xf>
    <xf numFmtId="0" fontId="3" fillId="2" borderId="24" applyAlignment="1" pivotButton="0" quotePrefix="0" xfId="1">
      <alignment horizontal="center" vertical="center"/>
    </xf>
    <xf numFmtId="0" fontId="19" fillId="2" borderId="23" pivotButton="0" quotePrefix="0" xfId="1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9" fillId="2" borderId="0" applyAlignment="1" applyProtection="1" pivotButton="0" quotePrefix="0" xfId="1">
      <alignment vertical="center"/>
      <protection locked="0" hidden="0"/>
    </xf>
    <xf numFmtId="0" fontId="24" fillId="2" borderId="30" applyAlignment="1" applyProtection="1" pivotButton="0" quotePrefix="0" xfId="1">
      <alignment horizontal="center" vertical="center"/>
      <protection locked="0" hidden="0"/>
    </xf>
    <xf numFmtId="0" fontId="24" fillId="2" borderId="28" applyAlignment="1" applyProtection="1" pivotButton="0" quotePrefix="0" xfId="1">
      <alignment horizontal="center" vertical="center"/>
      <protection locked="0" hidden="0"/>
    </xf>
    <xf numFmtId="0" fontId="24" fillId="2" borderId="29" applyAlignment="1" applyProtection="1" pivotButton="0" quotePrefix="0" xfId="1">
      <alignment horizontal="center" vertical="center"/>
      <protection locked="0" hidden="0"/>
    </xf>
    <xf numFmtId="0" fontId="8" fillId="2" borderId="0" applyAlignment="1" pivotButton="0" quotePrefix="0" xfId="1">
      <alignment horizontal="right" vertical="center"/>
    </xf>
    <xf numFmtId="0" fontId="8" fillId="2" borderId="14" applyAlignment="1" pivotButton="0" quotePrefix="0" xfId="1">
      <alignment horizontal="right" vertical="center"/>
    </xf>
    <xf numFmtId="0" fontId="2" fillId="2" borderId="0" applyAlignment="1" pivotButton="0" quotePrefix="0" xfId="1">
      <alignment horizontal="right" vertical="center"/>
    </xf>
    <xf numFmtId="0" fontId="2" fillId="2" borderId="14" applyAlignment="1" pivotButton="0" quotePrefix="0" xfId="1">
      <alignment horizontal="right" vertical="center"/>
    </xf>
    <xf numFmtId="0" fontId="9" fillId="2" borderId="0" applyAlignment="1" applyProtection="1" pivotButton="0" quotePrefix="0" xfId="1">
      <alignment horizontal="center" vertical="center"/>
      <protection locked="0" hidden="0"/>
    </xf>
    <xf numFmtId="0" fontId="9" fillId="8" borderId="11" applyAlignment="1" applyProtection="1" pivotButton="0" quotePrefix="0" xfId="0">
      <alignment horizontal="center" vertical="center"/>
      <protection locked="0" hidden="0"/>
    </xf>
    <xf numFmtId="0" fontId="9" fillId="8" borderId="12" applyAlignment="1" applyProtection="1" pivotButton="0" quotePrefix="0" xfId="0">
      <alignment horizontal="center" vertical="center"/>
      <protection locked="0" hidden="0"/>
    </xf>
    <xf numFmtId="0" fontId="9" fillId="8" borderId="10" applyAlignment="1" applyProtection="1" pivotButton="0" quotePrefix="0" xfId="0">
      <alignment horizontal="center" vertical="center"/>
      <protection locked="0" hidden="0"/>
    </xf>
    <xf numFmtId="0" fontId="9" fillId="8" borderId="6" applyAlignment="1" applyProtection="1" pivotButton="0" quotePrefix="0" xfId="1">
      <alignment horizontal="center" vertical="center"/>
      <protection locked="0" hidden="0"/>
    </xf>
    <xf numFmtId="0" fontId="9" fillId="8" borderId="7" applyAlignment="1" applyProtection="1" pivotButton="0" quotePrefix="0" xfId="1">
      <alignment horizontal="center" vertical="center"/>
      <protection locked="0" hidden="0"/>
    </xf>
    <xf numFmtId="0" fontId="9" fillId="8" borderId="8" applyAlignment="1" applyProtection="1" pivotButton="0" quotePrefix="0" xfId="1">
      <alignment horizontal="center" vertical="center"/>
      <protection locked="0" hidden="0"/>
    </xf>
    <xf numFmtId="0" fontId="14" fillId="2" borderId="26" applyAlignment="1" pivotButton="0" quotePrefix="0" xfId="0">
      <alignment horizontal="center"/>
    </xf>
    <xf numFmtId="0" fontId="23" fillId="2" borderId="31" pivotButton="0" quotePrefix="0" xfId="0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28" applyAlignment="1" applyProtection="1" pivotButton="0" quotePrefix="0" xfId="3">
      <alignment horizontal="center" vertical="center"/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8" fillId="0" borderId="15" applyAlignment="1" applyProtection="1" pivotButton="0" quotePrefix="0" xfId="0">
      <alignment horizontal="center" vertical="center" wrapText="1"/>
      <protection locked="0" hidden="0"/>
    </xf>
    <xf numFmtId="0" fontId="8" fillId="0" borderId="6" applyAlignment="1" applyProtection="1" pivotButton="0" quotePrefix="0" xfId="0">
      <alignment horizontal="center" vertical="center"/>
      <protection locked="0" hidden="0"/>
    </xf>
    <xf numFmtId="0" fontId="8" fillId="0" borderId="7" applyAlignment="1" applyProtection="1" pivotButton="0" quotePrefix="0" xfId="0">
      <alignment horizontal="center" vertical="center"/>
      <protection locked="0" hidden="0"/>
    </xf>
    <xf numFmtId="0" fontId="9" fillId="0" borderId="6" applyAlignment="1" applyProtection="1" pivotButton="0" quotePrefix="0" xfId="0">
      <alignment horizontal="center" vertical="center"/>
      <protection locked="0" hidden="0"/>
    </xf>
    <xf numFmtId="0" fontId="9" fillId="0" borderId="7" applyAlignment="1" applyProtection="1" pivotButton="0" quotePrefix="0" xfId="0">
      <alignment horizontal="center" vertical="center"/>
      <protection locked="0" hidden="0"/>
    </xf>
    <xf numFmtId="0" fontId="9" fillId="0" borderId="8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1">
      <alignment vertical="center"/>
      <protection locked="0" hidden="0"/>
    </xf>
    <xf numFmtId="0" fontId="24" fillId="0" borderId="30" applyAlignment="1" applyProtection="1" pivotButton="0" quotePrefix="0" xfId="1">
      <alignment horizontal="center" vertical="center"/>
      <protection locked="0" hidden="0"/>
    </xf>
    <xf numFmtId="0" fontId="24" fillId="0" borderId="28" applyAlignment="1" applyProtection="1" pivotButton="0" quotePrefix="0" xfId="1">
      <alignment horizontal="center" vertical="center"/>
      <protection locked="0" hidden="0"/>
    </xf>
    <xf numFmtId="0" fontId="24" fillId="0" borderId="29" applyAlignment="1" applyProtection="1" pivotButton="0" quotePrefix="0" xfId="1">
      <alignment horizontal="center" vertical="center"/>
      <protection locked="0" hidden="0"/>
    </xf>
    <xf numFmtId="0" fontId="8" fillId="0" borderId="0" applyAlignment="1" pivotButton="0" quotePrefix="0" xfId="1">
      <alignment horizontal="right" vertical="center"/>
    </xf>
    <xf numFmtId="0" fontId="8" fillId="0" borderId="14" applyAlignment="1" pivotButton="0" quotePrefix="0" xfId="1">
      <alignment horizontal="right" vertical="center"/>
    </xf>
    <xf numFmtId="0" fontId="2" fillId="0" borderId="0" applyAlignment="1" pivotButton="0" quotePrefix="0" xfId="1">
      <alignment horizontal="right" vertical="center"/>
    </xf>
    <xf numFmtId="0" fontId="2" fillId="0" borderId="14" applyAlignment="1" pivotButton="0" quotePrefix="0" xfId="1">
      <alignment horizontal="right" vertical="center"/>
    </xf>
    <xf numFmtId="0" fontId="9" fillId="0" borderId="0" applyAlignment="1" applyProtection="1" pivotButton="0" quotePrefix="0" xfId="1">
      <alignment horizontal="center" vertical="center"/>
      <protection locked="0" hidden="0"/>
    </xf>
    <xf numFmtId="0" fontId="14" fillId="0" borderId="26" applyAlignment="1" pivotButton="0" quotePrefix="0" xfId="0">
      <alignment horizontal="center"/>
    </xf>
    <xf numFmtId="0" fontId="23" fillId="0" borderId="31" pivotButton="0" quotePrefix="0" xfId="0"/>
    <xf numFmtId="0" fontId="9" fillId="0" borderId="6" applyAlignment="1" applyProtection="1" pivotButton="0" quotePrefix="0" xfId="2">
      <alignment horizontal="center" vertical="center" wrapText="1"/>
      <protection locked="0" hidden="0"/>
    </xf>
    <xf numFmtId="0" fontId="9" fillId="0" borderId="8" applyAlignment="1" applyProtection="1" pivotButton="0" quotePrefix="0" xfId="2">
      <alignment horizontal="center" vertical="center" wrapText="1"/>
      <protection locked="0" hidden="0"/>
    </xf>
    <xf numFmtId="0" fontId="2" fillId="2" borderId="0" applyAlignment="1" pivotButton="0" quotePrefix="0" xfId="4">
      <alignment horizontal="right" vertical="center"/>
    </xf>
    <xf numFmtId="0" fontId="2" fillId="2" borderId="14" applyAlignment="1" pivotButton="0" quotePrefix="0" xfId="4">
      <alignment horizontal="right" vertical="center"/>
    </xf>
    <xf numFmtId="0" fontId="8" fillId="2" borderId="0" applyAlignment="1" pivotButton="0" quotePrefix="0" xfId="4">
      <alignment horizontal="right" vertical="center"/>
    </xf>
    <xf numFmtId="0" fontId="8" fillId="2" borderId="14" applyAlignment="1" pivotButton="0" quotePrefix="0" xfId="4">
      <alignment horizontal="right" vertical="center"/>
    </xf>
    <xf numFmtId="0" fontId="4" fillId="15" borderId="34" applyAlignment="1" pivotButton="0" quotePrefix="0" xfId="4">
      <alignment horizontal="center" vertical="center"/>
    </xf>
    <xf numFmtId="0" fontId="4" fillId="15" borderId="7" applyAlignment="1" pivotButton="0" quotePrefix="0" xfId="4">
      <alignment horizontal="center" vertical="center"/>
    </xf>
    <xf numFmtId="0" fontId="4" fillId="15" borderId="35" applyAlignment="1" pivotButton="0" quotePrefix="0" xfId="4">
      <alignment horizontal="center" vertical="center"/>
    </xf>
    <xf numFmtId="0" fontId="14" fillId="0" borderId="24" applyAlignment="1" pivotButton="0" quotePrefix="0" xfId="0">
      <alignment horizontal="center"/>
    </xf>
    <xf numFmtId="0" fontId="23" fillId="0" borderId="22" pivotButton="0" quotePrefix="0" xfId="0"/>
    <xf numFmtId="0" fontId="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5" fillId="0" borderId="23" applyAlignment="1" pivotButton="0" quotePrefix="0" xfId="0">
      <alignment horizontal="center" vertical="center"/>
    </xf>
    <xf numFmtId="0" fontId="10" fillId="0" borderId="23" applyAlignment="1" pivotButton="0" quotePrefix="0" xfId="0">
      <alignment vertical="center"/>
    </xf>
    <xf numFmtId="0" fontId="5" fillId="0" borderId="33" applyAlignment="1" pivotButton="0" quotePrefix="0" xfId="0">
      <alignment horizontal="center" vertical="center"/>
    </xf>
    <xf numFmtId="0" fontId="10" fillId="0" borderId="25" applyAlignment="1" pivotButton="0" quotePrefix="0" xfId="0">
      <alignment vertical="center"/>
    </xf>
    <xf numFmtId="0" fontId="10" fillId="0" borderId="22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10" fillId="0" borderId="12" applyAlignment="1" pivotButton="0" quotePrefix="0" xfId="0">
      <alignment vertical="center"/>
    </xf>
    <xf numFmtId="0" fontId="5" fillId="4" borderId="1" applyAlignment="1" pivotButton="0" quotePrefix="0" xfId="1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0" fillId="0" borderId="16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15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19" borderId="11" applyAlignment="1" pivotButton="0" quotePrefix="0" xfId="0">
      <alignment horizontal="center" vertical="center" wrapText="1"/>
    </xf>
    <xf numFmtId="0" fontId="9" fillId="19" borderId="1" applyAlignment="1" pivotButton="0" quotePrefix="0" xfId="0">
      <alignment vertical="center" wrapText="1"/>
    </xf>
    <xf numFmtId="0" fontId="8" fillId="18" borderId="6" applyAlignment="1" pivotButton="0" quotePrefix="0" xfId="0">
      <alignment vertical="center" wrapText="1"/>
    </xf>
    <xf numFmtId="0" fontId="9" fillId="18" borderId="1" applyAlignment="1" pivotButton="0" quotePrefix="0" xfId="0">
      <alignment vertical="center" wrapText="1"/>
    </xf>
    <xf numFmtId="0" fontId="2" fillId="18" borderId="1" applyAlignment="1" pivotButton="0" quotePrefix="0" xfId="0">
      <alignment vertical="center" wrapText="1"/>
    </xf>
    <xf numFmtId="0" fontId="4" fillId="19" borderId="1" applyAlignment="1" pivotButton="0" quotePrefix="0" xfId="0">
      <alignment wrapText="1"/>
    </xf>
    <xf numFmtId="0" fontId="5" fillId="18" borderId="6" applyAlignment="1" pivotButton="0" quotePrefix="0" xfId="0">
      <alignment wrapText="1"/>
    </xf>
    <xf numFmtId="0" fontId="4" fillId="18" borderId="1" applyAlignment="1" pivotButton="0" quotePrefix="0" xfId="0">
      <alignment wrapText="1"/>
    </xf>
    <xf numFmtId="0" fontId="10" fillId="18" borderId="17" applyAlignment="1" pivotButton="0" quotePrefix="0" xfId="0">
      <alignment vertical="center" wrapText="1"/>
    </xf>
    <xf numFmtId="0" fontId="3" fillId="3" borderId="6" applyAlignment="1" pivotButton="0" quotePrefix="0" xfId="0">
      <alignment horizontal="center" vertical="center" wrapText="1"/>
    </xf>
    <xf numFmtId="0" fontId="27" fillId="0" borderId="6" pivotButton="0" quotePrefix="0" xfId="0"/>
    <xf numFmtId="0" fontId="27" fillId="0" borderId="7" pivotButton="0" quotePrefix="0" xfId="0"/>
    <xf numFmtId="0" fontId="3" fillId="0" borderId="7" applyAlignment="1" applyProtection="1" pivotButton="0" quotePrefix="0" xfId="0">
      <alignment horizontal="center" vertical="center"/>
      <protection locked="0" hidden="0"/>
    </xf>
    <xf numFmtId="0" fontId="3" fillId="0" borderId="8" applyAlignment="1" applyProtection="1" pivotButton="0" quotePrefix="0" xfId="0">
      <alignment horizontal="center" vertical="center"/>
      <protection locked="0" hidden="0"/>
    </xf>
    <xf numFmtId="0" fontId="3" fillId="4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9" borderId="17" applyAlignment="1" pivotButton="0" quotePrefix="0" xfId="0">
      <alignment horizontal="left" vertical="center" wrapText="1"/>
    </xf>
    <xf numFmtId="0" fontId="7" fillId="2" borderId="17" applyAlignment="1" pivotButton="0" quotePrefix="0" xfId="0">
      <alignment horizontal="center"/>
    </xf>
    <xf numFmtId="0" fontId="7" fillId="2" borderId="17" applyAlignment="1" pivotButton="0" quotePrefix="0" xfId="0">
      <alignment horizontal="center" vertical="top"/>
    </xf>
    <xf numFmtId="2" fontId="7" fillId="2" borderId="17" applyAlignment="1" pivotButton="0" quotePrefix="0" xfId="0">
      <alignment horizontal="center" vertical="center"/>
    </xf>
    <xf numFmtId="0" fontId="3" fillId="2" borderId="15" applyAlignment="1" applyProtection="1" pivotButton="0" quotePrefix="0" xfId="1">
      <alignment horizontal="center" vertical="center"/>
      <protection locked="0" hidden="0"/>
    </xf>
    <xf numFmtId="0" fontId="3" fillId="2" borderId="17" applyAlignment="1" pivotButton="0" quotePrefix="0" xfId="0">
      <alignment horizontal="left"/>
    </xf>
    <xf numFmtId="0" fontId="7" fillId="2" borderId="20" pivotButton="0" quotePrefix="0" xfId="0"/>
    <xf numFmtId="0" fontId="7" fillId="2" borderId="0" pivotButton="0" quotePrefix="0" xfId="0"/>
    <xf numFmtId="0" fontId="3" fillId="2" borderId="7" applyAlignment="1" applyProtection="1" pivotButton="0" quotePrefix="0" xfId="1">
      <alignment horizontal="center" vertical="center"/>
      <protection locked="0" hidden="0"/>
    </xf>
    <xf numFmtId="2" fontId="3" fillId="2" borderId="8" applyAlignment="1" applyProtection="1" pivotButton="0" quotePrefix="0" xfId="1">
      <alignment horizontal="center" vertical="center"/>
      <protection locked="0" hidden="0"/>
    </xf>
    <xf numFmtId="0" fontId="9" fillId="2" borderId="1" applyAlignment="1" applyProtection="1" pivotButton="0" quotePrefix="0" xfId="2">
      <alignment horizontal="center" vertical="center" wrapTex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23" pivotButton="0" quotePrefix="0" xfId="0"/>
    <xf numFmtId="0" fontId="15" fillId="2" borderId="27" applyAlignment="1" pivotButton="0" quotePrefix="0" xfId="1">
      <alignment horizontal="right" vertical="center"/>
    </xf>
    <xf numFmtId="0" fontId="0" fillId="0" borderId="27" pivotButton="0" quotePrefix="0" xfId="0"/>
    <xf numFmtId="0" fontId="5" fillId="2" borderId="27" applyAlignment="1" pivotButton="0" quotePrefix="0" xfId="1">
      <alignment horizontal="right" vertical="center"/>
    </xf>
    <xf numFmtId="0" fontId="0" fillId="0" borderId="0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9" fillId="8" borderId="42" applyAlignment="1" applyProtection="1" pivotButton="0" quotePrefix="0" xfId="0">
      <alignment horizontal="center" vertical="center"/>
      <protection locked="0" hidden="0"/>
    </xf>
    <xf numFmtId="0" fontId="0" fillId="0" borderId="37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9" fillId="8" borderId="1" applyAlignment="1" applyProtection="1" pivotButton="0" quotePrefix="0" xfId="1">
      <alignment horizontal="center" vertical="center"/>
      <protection locked="0" hidden="0"/>
    </xf>
    <xf numFmtId="0" fontId="0" fillId="0" borderId="31" pivotButton="0" quotePrefix="0" xfId="0"/>
    <xf numFmtId="0" fontId="24" fillId="2" borderId="45" applyAlignment="1" applyProtection="1" pivotButton="0" quotePrefix="0" xfId="1">
      <alignment horizontal="center" vertical="center"/>
      <protection locked="0" hidden="0"/>
    </xf>
    <xf numFmtId="0" fontId="0" fillId="0" borderId="46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14" pivotButton="0" quotePrefix="0" xfId="0"/>
    <xf numFmtId="0" fontId="9" fillId="0" borderId="1" applyAlignment="1" applyProtection="1" pivotButton="0" quotePrefix="0" xfId="2">
      <alignment horizontal="center" vertical="center" wrapText="1"/>
      <protection locked="0" hidden="0"/>
    </xf>
    <xf numFmtId="0" fontId="24" fillId="0" borderId="45" applyAlignment="1" applyProtection="1" pivotButton="0" quotePrefix="0" xfId="1">
      <alignment horizontal="center" vertical="center"/>
      <protection locked="0" hidden="0"/>
    </xf>
    <xf numFmtId="0" fontId="5" fillId="0" borderId="25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4" fillId="15" borderId="49" applyAlignment="1" pivotButton="0" quotePrefix="0" xfId="4">
      <alignment horizontal="center" vertical="center"/>
    </xf>
    <xf numFmtId="0" fontId="0" fillId="0" borderId="51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52" applyAlignment="1" pivotButton="0" quotePrefix="0" xfId="0">
      <alignment vertical="top" wrapText="1"/>
    </xf>
    <xf numFmtId="0" fontId="29" fillId="0" borderId="52" applyAlignment="1" pivotButton="0" quotePrefix="0" xfId="0">
      <alignment vertical="top" wrapText="1"/>
    </xf>
    <xf numFmtId="0" fontId="29" fillId="18" borderId="52" applyAlignment="1" pivotButton="0" quotePrefix="0" xfId="0">
      <alignment vertical="top" wrapText="1"/>
    </xf>
    <xf numFmtId="0" fontId="29" fillId="19" borderId="52" applyAlignment="1" pivotButton="0" quotePrefix="0" xfId="0">
      <alignment vertical="top" wrapText="1"/>
    </xf>
    <xf numFmtId="0" fontId="32" fillId="20" borderId="52" applyAlignment="1" pivotButton="0" quotePrefix="0" xfId="0">
      <alignment vertical="top" wrapText="1"/>
    </xf>
  </cellXfs>
  <cellStyles count="5">
    <cellStyle name="Normal" xfId="0" builtinId="0"/>
    <cellStyle name="Normal 2" xfId="1"/>
    <cellStyle name="ปกติ_Sheet1" xfId="2"/>
    <cellStyle name="ปกติ 3" xfId="3"/>
    <cellStyle name="Normal 3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AN569"/>
  <sheetViews>
    <sheetView tabSelected="1" topLeftCell="A188" zoomScaleNormal="100" workbookViewId="0">
      <selection activeCell="A198" sqref="A198"/>
    </sheetView>
  </sheetViews>
  <sheetFormatPr baseColWidth="10" defaultColWidth="8" defaultRowHeight="24"/>
  <cols>
    <col width="46.6640625" customWidth="1" style="140" min="1" max="1"/>
    <col width="7" customWidth="1" style="141" min="2" max="2"/>
    <col width="6.6640625" customWidth="1" style="141" min="3" max="3"/>
    <col width="6.1640625" customWidth="1" style="141" min="4" max="4"/>
    <col width="3.1640625" customWidth="1" style="143" min="5" max="6"/>
    <col width="3.1640625" customWidth="1" style="68" min="7" max="9"/>
    <col width="3.1640625" customWidth="1" style="143" min="10" max="10"/>
    <col width="3.1640625" customWidth="1" style="68" min="11" max="11"/>
    <col width="3.1640625" customWidth="1" style="143" min="12" max="13"/>
    <col width="3.1640625" customWidth="1" style="68" min="14" max="16"/>
    <col width="3.1640625" customWidth="1" style="143" min="17" max="21"/>
    <col width="3.1640625" customWidth="1" style="68" min="22" max="25"/>
    <col width="3.1640625" customWidth="1" style="143" min="26" max="27"/>
    <col width="3.1640625" customWidth="1" style="68" min="28" max="32"/>
    <col width="3.1640625" customWidth="1" style="143" min="33" max="34"/>
    <col width="3.1640625" customWidth="1" style="68" min="35" max="35"/>
    <col width="4.83203125" customWidth="1" style="142" min="36" max="36"/>
    <col width="8.33203125" bestFit="1" customWidth="1" style="142" min="37" max="37"/>
    <col width="8" customWidth="1" style="1" min="38" max="16384"/>
  </cols>
  <sheetData>
    <row r="1">
      <c r="A1" s="662" t="inlineStr">
        <is>
          <r>
            <t xml:space="preserve">แบบจัดเก็บคะแนนภาระงาน ( Work point )  หัวหน้าหอผู้ป่วย /หัวหน้างาน โรงพยาบาลสมเด็จพระปิ่นเกล้า  </t>
          </r>
          <r>
            <rPr>
              <rFont val="TH SarabunPSK"/>
              <family val="2"/>
              <b val="1"/>
              <color rgb="FFFF0000"/>
              <sz val="16"/>
            </rPr>
            <t>(Update  ส.ค. 69)</t>
          </r>
        </is>
      </c>
    </row>
    <row r="2">
      <c r="A2" s="662" t="inlineStr">
        <is>
          <t xml:space="preserve"> หอผู้ป่วย / หน่วยงาน ………..........................…….  กลุ่มงาน .................................................ชื่อ…….........................................….  คะแนนแต้มประกัน 1,200 แต้ม  คะแนนมาตรฐานตำแหน่ง 0.143  แต้ม/นาที</t>
        </is>
      </c>
    </row>
    <row r="3">
      <c r="A3" s="662" t="inlineStr">
        <is>
          <t>ประจำเดือน ....................... พ.ศ...............</t>
        </is>
      </c>
    </row>
    <row r="4">
      <c r="A4" s="663" t="inlineStr">
        <is>
          <t>ภาระงาน</t>
        </is>
      </c>
      <c r="B4" s="3" t="inlineStr">
        <is>
          <t>หน่วย</t>
        </is>
      </c>
      <c r="C4" s="3" t="inlineStr">
        <is>
          <t>เวลา</t>
        </is>
      </c>
      <c r="D4" s="3" t="inlineStr">
        <is>
          <t>Point</t>
        </is>
      </c>
      <c r="E4" s="664" t="inlineStr">
        <is>
          <t>ปริมาณงาน (รายวัน/รายสัปดาห์/รายเดือน)</t>
        </is>
      </c>
      <c r="F4" s="727" t="n"/>
      <c r="G4" s="727" t="n"/>
      <c r="H4" s="727" t="n"/>
      <c r="I4" s="727" t="n"/>
      <c r="J4" s="727" t="n"/>
      <c r="K4" s="727" t="n"/>
      <c r="L4" s="727" t="n"/>
      <c r="M4" s="727" t="n"/>
      <c r="N4" s="727" t="n"/>
      <c r="O4" s="727" t="n"/>
      <c r="P4" s="727" t="n"/>
      <c r="Q4" s="727" t="n"/>
      <c r="R4" s="727" t="n"/>
      <c r="S4" s="727" t="n"/>
      <c r="T4" s="727" t="n"/>
      <c r="U4" s="727" t="n"/>
      <c r="V4" s="727" t="n"/>
      <c r="W4" s="727" t="n"/>
      <c r="X4" s="727" t="n"/>
      <c r="Y4" s="727" t="n"/>
      <c r="Z4" s="727" t="n"/>
      <c r="AA4" s="727" t="n"/>
      <c r="AB4" s="727" t="n"/>
      <c r="AC4" s="727" t="n"/>
      <c r="AD4" s="727" t="n"/>
      <c r="AE4" s="727" t="n"/>
      <c r="AF4" s="727" t="n"/>
      <c r="AG4" s="727" t="n"/>
      <c r="AH4" s="727" t="n"/>
      <c r="AI4" s="727" t="n"/>
      <c r="AJ4" s="727" t="n"/>
      <c r="AK4" s="728" t="n"/>
    </row>
    <row r="5">
      <c r="A5" s="729" t="n"/>
      <c r="B5" s="3" t="inlineStr">
        <is>
          <t>นับ</t>
        </is>
      </c>
      <c r="C5" s="3" t="inlineStr">
        <is>
          <t>(นาที)</t>
        </is>
      </c>
      <c r="D5" s="3" t="inlineStr">
        <is>
          <t>(แต้ม)</t>
        </is>
      </c>
      <c r="E5" s="730" t="n"/>
      <c r="F5" s="730" t="n"/>
      <c r="G5" s="730" t="n"/>
      <c r="H5" s="730" t="n"/>
      <c r="I5" s="730" t="n"/>
      <c r="J5" s="730" t="n"/>
      <c r="K5" s="730" t="n"/>
      <c r="L5" s="730" t="n"/>
      <c r="M5" s="730" t="n"/>
      <c r="N5" s="730" t="n"/>
      <c r="O5" s="730" t="n"/>
      <c r="P5" s="730" t="n"/>
      <c r="Q5" s="730" t="n"/>
      <c r="R5" s="730" t="n"/>
      <c r="S5" s="730" t="n"/>
      <c r="T5" s="730" t="n"/>
      <c r="U5" s="730" t="n"/>
      <c r="V5" s="730" t="n"/>
      <c r="W5" s="730" t="n"/>
      <c r="X5" s="730" t="n"/>
      <c r="Y5" s="730" t="n"/>
      <c r="Z5" s="730" t="n"/>
      <c r="AA5" s="730" t="n"/>
      <c r="AB5" s="730" t="n"/>
      <c r="AC5" s="730" t="n"/>
      <c r="AD5" s="730" t="n"/>
      <c r="AE5" s="730" t="n"/>
      <c r="AF5" s="730" t="n"/>
      <c r="AG5" s="730" t="n"/>
      <c r="AH5" s="730" t="n"/>
      <c r="AI5" s="730" t="n"/>
      <c r="AJ5" s="730" t="n"/>
      <c r="AK5" s="731" t="n"/>
    </row>
    <row r="6">
      <c r="A6" s="732" t="n"/>
      <c r="B6" s="668" t="inlineStr">
        <is>
          <t>วันที่</t>
        </is>
      </c>
      <c r="C6" s="110" t="n"/>
      <c r="D6" s="733" t="n"/>
      <c r="E6" s="5" t="n">
        <v>1</v>
      </c>
      <c r="F6" s="5" t="n">
        <v>2</v>
      </c>
      <c r="G6" s="5" t="n">
        <v>3</v>
      </c>
      <c r="H6" s="5" t="n">
        <v>4</v>
      </c>
      <c r="I6" s="5" t="n">
        <v>5</v>
      </c>
      <c r="J6" s="5" t="n">
        <v>6</v>
      </c>
      <c r="K6" s="5" t="n">
        <v>7</v>
      </c>
      <c r="L6" s="5" t="n">
        <v>8</v>
      </c>
      <c r="M6" s="5" t="n">
        <v>9</v>
      </c>
      <c r="N6" s="5" t="n">
        <v>10</v>
      </c>
      <c r="O6" s="5" t="n">
        <v>11</v>
      </c>
      <c r="P6" s="5" t="n">
        <v>12</v>
      </c>
      <c r="Q6" s="5" t="n">
        <v>13</v>
      </c>
      <c r="R6" s="5" t="n">
        <v>14</v>
      </c>
      <c r="S6" s="5" t="n">
        <v>15</v>
      </c>
      <c r="T6" s="5" t="n">
        <v>16</v>
      </c>
      <c r="U6" s="5" t="n">
        <v>17</v>
      </c>
      <c r="V6" s="5" t="n">
        <v>18</v>
      </c>
      <c r="W6" s="5" t="n">
        <v>19</v>
      </c>
      <c r="X6" s="5" t="n">
        <v>20</v>
      </c>
      <c r="Y6" s="5" t="n">
        <v>21</v>
      </c>
      <c r="Z6" s="5" t="n">
        <v>22</v>
      </c>
      <c r="AA6" s="5" t="n">
        <v>23</v>
      </c>
      <c r="AB6" s="5" t="n">
        <v>24</v>
      </c>
      <c r="AC6" s="5" t="n">
        <v>25</v>
      </c>
      <c r="AD6" s="5" t="n">
        <v>26</v>
      </c>
      <c r="AE6" s="5" t="n">
        <v>27</v>
      </c>
      <c r="AF6" s="5" t="n">
        <v>28</v>
      </c>
      <c r="AG6" s="5" t="n">
        <v>29</v>
      </c>
      <c r="AH6" s="5" t="n">
        <v>30</v>
      </c>
      <c r="AI6" s="5" t="n">
        <v>31</v>
      </c>
      <c r="AJ6" s="668" t="inlineStr">
        <is>
          <t>รวม</t>
        </is>
      </c>
      <c r="AK6" s="668" t="inlineStr">
        <is>
          <t>รวมแต้ม</t>
        </is>
      </c>
    </row>
    <row r="7" ht="25" customHeight="1">
      <c r="A7" s="663" t="inlineStr">
        <is>
          <t>วันทำการ / เวร</t>
        </is>
      </c>
      <c r="B7" s="653" t="n"/>
      <c r="C7" s="110" t="n"/>
      <c r="D7" s="110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668" t="n"/>
      <c r="AK7" s="668" t="n"/>
    </row>
    <row r="8" ht="25" customHeight="1">
      <c r="A8" s="6" t="inlineStr">
        <is>
          <t>บริหาร</t>
        </is>
      </c>
      <c r="B8" s="734" t="n"/>
      <c r="C8" s="110" t="n"/>
      <c r="D8" s="110" t="n"/>
      <c r="E8" s="110" t="n"/>
      <c r="F8" s="110" t="n"/>
      <c r="G8" s="110" t="n"/>
      <c r="H8" s="110" t="n"/>
      <c r="I8" s="110" t="n"/>
      <c r="J8" s="110" t="n"/>
      <c r="K8" s="110" t="n"/>
      <c r="L8" s="110" t="n"/>
      <c r="M8" s="110" t="n"/>
      <c r="N8" s="110" t="n"/>
      <c r="O8" s="110" t="n"/>
      <c r="P8" s="110" t="n"/>
      <c r="Q8" s="110" t="n"/>
      <c r="R8" s="110" t="n"/>
      <c r="S8" s="110" t="n"/>
      <c r="T8" s="110" t="n"/>
      <c r="U8" s="110" t="n"/>
      <c r="V8" s="110" t="n"/>
      <c r="W8" s="110" t="n"/>
      <c r="X8" s="110" t="n"/>
      <c r="Y8" s="110" t="n"/>
      <c r="Z8" s="110" t="n"/>
      <c r="AA8" s="110" t="n"/>
      <c r="AB8" s="110" t="n"/>
      <c r="AC8" s="110" t="n"/>
      <c r="AD8" s="110" t="n"/>
      <c r="AE8" s="110" t="n"/>
      <c r="AF8" s="110" t="n"/>
      <c r="AG8" s="110" t="n"/>
      <c r="AH8" s="110" t="n"/>
      <c r="AI8" s="110" t="n"/>
      <c r="AJ8" s="110" t="n"/>
      <c r="AK8" s="733" t="n"/>
    </row>
    <row r="9" ht="25" customHeight="1">
      <c r="A9" s="7" t="inlineStr">
        <is>
          <t>การประชุม</t>
        </is>
      </c>
      <c r="B9" s="8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10" t="n"/>
    </row>
    <row r="10" ht="50" customHeight="1">
      <c r="A10" s="11" t="inlineStr">
        <is>
          <r>
            <t xml:space="preserve">1. ประชุมหน่วยขึ้นตรงโรงพยาบาลประจำเดือน
</t>
          </r>
          <r>
            <rPr>
              <rFont val="TH SarabunPSK"/>
              <family val="2"/>
              <color rgb="FFFF0000"/>
              <sz val="16"/>
            </rPr>
            <t>ประธาน 3 เท่า, เลขา 2.5 เท่า, กรรมการ/เข้าร่วมประชุม 2 เท่า</t>
          </r>
        </is>
      </c>
      <c r="B10" s="12" t="inlineStr">
        <is>
          <t>ครั้ง</t>
        </is>
      </c>
      <c r="C10" s="13" t="inlineStr">
        <is>
          <t>เหมา</t>
        </is>
      </c>
      <c r="D10" s="13" t="n">
        <v>17.16</v>
      </c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5">
        <f>SUM(E10:AI10)</f>
        <v/>
      </c>
      <c r="AK10" s="5">
        <f>AJ10*D10</f>
        <v/>
      </c>
    </row>
    <row r="11" ht="50" customHeight="1">
      <c r="A11" s="11" t="inlineStr">
        <is>
          <r>
            <t xml:space="preserve">2. ประชุมระดับโรงพยาบาล
</t>
          </r>
          <r>
            <rPr>
              <rFont val="TH SarabunPSK"/>
              <family val="2"/>
              <color rgb="FFFF0000"/>
              <sz val="16"/>
            </rPr>
            <t>ประธาน 3 เท่า, เลขา 2.5 เท่า, กรรมการ/เข้าร่วมประชุม 2 เท่า</t>
          </r>
        </is>
      </c>
      <c r="B11" s="12" t="inlineStr">
        <is>
          <t>ครั้ง</t>
        </is>
      </c>
      <c r="C11" s="13" t="inlineStr">
        <is>
          <t>เหมา</t>
        </is>
      </c>
      <c r="D11" s="13" t="n">
        <v>17.16</v>
      </c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5">
        <f>SUM(E11:AI11)</f>
        <v/>
      </c>
      <c r="AK11" s="5">
        <f>AJ11*D11</f>
        <v/>
      </c>
    </row>
    <row r="12" ht="50" customHeight="1">
      <c r="A12" s="11" t="inlineStr">
        <is>
          <r>
            <t xml:space="preserve">3. ประชุมระหว่างหน่วยงาน
</t>
          </r>
          <r>
            <rPr>
              <rFont val="TH SarabunPSK"/>
              <family val="2"/>
              <color rgb="FFFF0000"/>
              <sz val="16"/>
            </rPr>
            <t>ประธาน 3 เท่า, เลขา 2.5 เท่า, กรรมการ/เข้าร่วมประชุม 2 เท่า</t>
          </r>
        </is>
      </c>
      <c r="B12" s="12" t="inlineStr">
        <is>
          <t>ครั้ง</t>
        </is>
      </c>
      <c r="C12" s="13" t="inlineStr">
        <is>
          <t>เหมา</t>
        </is>
      </c>
      <c r="D12" s="13" t="n">
        <v>17.16</v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5">
        <f>SUM(E12:AI12)</f>
        <v/>
      </c>
      <c r="AK12" s="5">
        <f>AJ12*D12</f>
        <v/>
      </c>
    </row>
    <row r="13" ht="50" customHeight="1">
      <c r="A13" s="11" t="inlineStr">
        <is>
          <r>
            <t xml:space="preserve">4. ประชุมภายในหน่วยงาน/กลุ่มงาน
</t>
          </r>
          <r>
            <rPr>
              <rFont val="TH SarabunPSK"/>
              <family val="2"/>
              <color rgb="FFFF0000"/>
              <sz val="16"/>
            </rPr>
            <t>ประธาน 3 เท่า, เลขา 2.5 เท่า, กรรมการ/เข้าร่วมประชุม 2 เท่า</t>
          </r>
        </is>
      </c>
      <c r="B13" s="12" t="inlineStr">
        <is>
          <t>ครั้ง</t>
        </is>
      </c>
      <c r="C13" s="13" t="inlineStr">
        <is>
          <t>เหมา</t>
        </is>
      </c>
      <c r="D13" s="13" t="n">
        <v>17.16</v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5">
        <f>SUM(E13:AI13)</f>
        <v/>
      </c>
      <c r="AK13" s="5">
        <f>AJ13*D13</f>
        <v/>
      </c>
    </row>
    <row r="14" ht="50" customHeight="1">
      <c r="A14" s="11" t="inlineStr">
        <is>
          <r>
            <t xml:space="preserve">5. ประชุมระดับแผนก/หอผู้ป่วย/ห้องตรวจโรค
</t>
          </r>
          <r>
            <rPr>
              <rFont val="TH SarabunPSK"/>
              <family val="2"/>
              <color rgb="FFFF0000"/>
              <sz val="16"/>
            </rPr>
            <t>ประธาน 3 เท่า, เลขา 2.5 เท่า, กรรมการ/เข้าร่วมประชุม 2 เท่า</t>
          </r>
        </is>
      </c>
      <c r="B14" s="12" t="inlineStr">
        <is>
          <t>ครั้ง</t>
        </is>
      </c>
      <c r="C14" s="13" t="inlineStr">
        <is>
          <t>เหมา</t>
        </is>
      </c>
      <c r="D14" s="13" t="n">
        <v>17.16</v>
      </c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5">
        <f>SUM(E14:AI14)</f>
        <v/>
      </c>
      <c r="AK14" s="5">
        <f>AJ14*D14</f>
        <v/>
      </c>
    </row>
    <row r="15" ht="25" customHeight="1">
      <c r="A15" s="11" t="inlineStr">
        <is>
          <t>6. ประชุมแก้ไขปัญหา/ข้อขัดข้องภายในแผนก</t>
        </is>
      </c>
      <c r="B15" s="12" t="inlineStr">
        <is>
          <t>ครั้ง</t>
        </is>
      </c>
      <c r="C15" s="13" t="inlineStr">
        <is>
          <t>เหมา</t>
        </is>
      </c>
      <c r="D15" s="13" t="n">
        <v>8.58</v>
      </c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5">
        <f>SUM(E15:AI15)</f>
        <v/>
      </c>
      <c r="AK15" s="5">
        <f>AJ15*D15</f>
        <v/>
      </c>
    </row>
    <row r="16" ht="50" customHeight="1">
      <c r="A16" s="11" t="inlineStr">
        <is>
          <t>7. ประชุมวิชาการ/กิจกรรมวิชาการระดับโรงพยาบาล
(ผู้เข้าร่วมประชุมมาจากบุคลากรหลายหน่วยในโรงพยาบาล)</t>
        </is>
      </c>
      <c r="B16" s="12" t="inlineStr">
        <is>
          <t>ครั้ง</t>
        </is>
      </c>
      <c r="C16" s="13" t="inlineStr">
        <is>
          <t>เหมา</t>
        </is>
      </c>
      <c r="D16" s="13" t="n">
        <v>30</v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5">
        <f>SUM(E16:AI16)</f>
        <v/>
      </c>
      <c r="AK16" s="5">
        <f>AJ16*D16</f>
        <v/>
      </c>
    </row>
    <row r="17" ht="25" customHeight="1">
      <c r="A17" s="16" t="inlineStr">
        <is>
          <t>8. ประชุมวิชาการระหว่างหน่วยงาน/ภายในหน่วยงาน</t>
        </is>
      </c>
      <c r="B17" s="17" t="inlineStr">
        <is>
          <t>ครั้ง</t>
        </is>
      </c>
      <c r="C17" s="18" t="inlineStr">
        <is>
          <t>เหมา</t>
        </is>
      </c>
      <c r="D17" s="18" t="n">
        <v>30</v>
      </c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5">
        <f>SUM(E17:AI17)</f>
        <v/>
      </c>
      <c r="AK17" s="5">
        <f>AJ17*D17</f>
        <v/>
      </c>
    </row>
    <row r="18" ht="50" customHeight="1">
      <c r="A18" s="735" t="inlineStr">
        <is>
          <t>9. ประชุมคณะกรรมการตามคำสั่งต่างๆ ภายนอกโรงพยาบาล</t>
        </is>
      </c>
      <c r="B18" s="736" t="inlineStr">
        <is>
          <t>วัน</t>
        </is>
      </c>
      <c r="C18" s="737" t="inlineStr">
        <is>
          <t>เหมา</t>
        </is>
      </c>
      <c r="D18" s="737" t="n">
        <v>30</v>
      </c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738">
        <f>SUM(E18:AI18)</f>
        <v/>
      </c>
      <c r="AK18" s="738">
        <f>AJ18*D18</f>
        <v/>
      </c>
    </row>
    <row r="19" ht="25" customHeight="1">
      <c r="A19" s="739" t="inlineStr">
        <is>
          <t>△ การจัดทำรายงานการประชุม</t>
        </is>
      </c>
      <c r="B19" s="724" t="n"/>
      <c r="C19" s="22" t="n"/>
      <c r="D19" s="22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4" t="n"/>
      <c r="AK19" s="25" t="n"/>
    </row>
    <row r="20" ht="25" customHeight="1">
      <c r="A20" s="740" t="inlineStr">
        <is>
          <t>△ 1. การประชุมระดับ รพ.ฯ</t>
        </is>
      </c>
      <c r="B20" s="27" t="inlineStr">
        <is>
          <t>วัน</t>
        </is>
      </c>
      <c r="C20" s="28" t="inlineStr">
        <is>
          <t>เหมา</t>
        </is>
      </c>
      <c r="D20" s="27" t="n">
        <v>60</v>
      </c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5">
        <f>SUM(E20:AI20)</f>
        <v/>
      </c>
      <c r="AK20" s="5">
        <f>AJ20*D20</f>
        <v/>
      </c>
    </row>
    <row r="21" ht="50" customHeight="1">
      <c r="A21" s="740" t="inlineStr">
        <is>
          <t>△ 2. การประชุมระดับกลุ่มงาน/หน่วยงาน</t>
        </is>
      </c>
      <c r="B21" s="27" t="inlineStr">
        <is>
          <t>วัน</t>
        </is>
      </c>
      <c r="C21" s="28" t="inlineStr">
        <is>
          <t>เหมา</t>
        </is>
      </c>
      <c r="D21" s="27" t="n">
        <v>45</v>
      </c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  <c r="AA21" s="29" t="n"/>
      <c r="AB21" s="29" t="n"/>
      <c r="AC21" s="29" t="n"/>
      <c r="AD21" s="29" t="n"/>
      <c r="AE21" s="29" t="n"/>
      <c r="AF21" s="29" t="n"/>
      <c r="AG21" s="29" t="n"/>
      <c r="AH21" s="29" t="n"/>
      <c r="AI21" s="29" t="n"/>
      <c r="AJ21" s="5">
        <f>SUM(E21:AI21)</f>
        <v/>
      </c>
      <c r="AK21" s="5">
        <f>AJ21*D21</f>
        <v/>
      </c>
    </row>
    <row r="22" ht="25" customHeight="1">
      <c r="A22" s="740" t="inlineStr">
        <is>
          <t>△ 3. การประชุมย่อยในหน่วยงาน</t>
        </is>
      </c>
      <c r="B22" s="30" t="inlineStr">
        <is>
          <t>วัน</t>
        </is>
      </c>
      <c r="C22" s="31" t="inlineStr">
        <is>
          <t>เหมา</t>
        </is>
      </c>
      <c r="D22" s="30" t="n">
        <v>10</v>
      </c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2" t="n"/>
      <c r="AD22" s="32" t="n"/>
      <c r="AE22" s="32" t="n"/>
      <c r="AF22" s="32" t="n"/>
      <c r="AG22" s="32" t="n"/>
      <c r="AH22" s="32" t="n"/>
      <c r="AI22" s="32" t="n"/>
      <c r="AJ22" s="33">
        <f>SUM(E22:AI22)</f>
        <v/>
      </c>
      <c r="AK22" s="33">
        <f>AJ22*D22</f>
        <v/>
      </c>
    </row>
    <row r="23" ht="25" customHeight="1">
      <c r="A23" s="34" t="inlineStr">
        <is>
          <t>ราชการ</t>
        </is>
      </c>
      <c r="B23" s="724" t="n"/>
      <c r="C23" s="22" t="n"/>
      <c r="D23" s="22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4" t="n"/>
      <c r="AK23" s="25" t="n"/>
    </row>
    <row r="24" ht="50" customHeight="1">
      <c r="A24" s="35" t="inlineStr">
        <is>
          <t>ราชการต่าง ๆ เช่น รับเสด็จ รถพยาบาล  กีฬาสี 
งานเกื้อกูลสังคม (ร่วมพิธีสำคัญ)</t>
        </is>
      </c>
      <c r="B24" s="36" t="n"/>
      <c r="C24" s="37" t="n"/>
      <c r="D24" s="37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38" t="n"/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9" t="n"/>
    </row>
    <row r="25" ht="25" customHeight="1">
      <c r="A25" s="40" t="inlineStr">
        <is>
          <t>1. ภายใน รพ.</t>
        </is>
      </c>
      <c r="B25" s="41" t="n"/>
      <c r="C25" s="42" t="n"/>
      <c r="D25" s="43" t="n"/>
      <c r="E25" s="693" t="n"/>
      <c r="F25" s="693" t="n"/>
      <c r="G25" s="693" t="n"/>
      <c r="H25" s="693" t="n"/>
      <c r="I25" s="693" t="n"/>
      <c r="J25" s="693" t="n"/>
      <c r="K25" s="693" t="n"/>
      <c r="L25" s="693" t="n"/>
      <c r="M25" s="693" t="n"/>
      <c r="N25" s="693" t="n"/>
      <c r="O25" s="693" t="n"/>
      <c r="P25" s="693" t="n"/>
      <c r="Q25" s="693" t="n"/>
      <c r="R25" s="693" t="n"/>
      <c r="S25" s="693" t="n"/>
      <c r="T25" s="693" t="n"/>
      <c r="U25" s="693" t="n"/>
      <c r="V25" s="693" t="n"/>
      <c r="W25" s="693" t="n"/>
      <c r="X25" s="693" t="n"/>
      <c r="Y25" s="693" t="n"/>
      <c r="Z25" s="693" t="n"/>
      <c r="AA25" s="693" t="n"/>
      <c r="AB25" s="693" t="n"/>
      <c r="AC25" s="693" t="n"/>
      <c r="AD25" s="693" t="n"/>
      <c r="AE25" s="693" t="n"/>
      <c r="AF25" s="693" t="n"/>
      <c r="AG25" s="693" t="n"/>
      <c r="AH25" s="693" t="n"/>
      <c r="AI25" s="693" t="n"/>
      <c r="AJ25" s="45" t="n"/>
      <c r="AK25" s="46" t="n"/>
    </row>
    <row r="26" ht="25" customHeight="1">
      <c r="A26" s="740" t="inlineStr">
        <is>
          <t>△    -  หัวหน้าผู้รับผิดชอบราชการ</t>
        </is>
      </c>
      <c r="B26" s="47" t="inlineStr">
        <is>
          <t>วัน</t>
        </is>
      </c>
      <c r="C26" s="48" t="inlineStr">
        <is>
          <t>เหมา</t>
        </is>
      </c>
      <c r="D26" s="47" t="n">
        <v>60</v>
      </c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  <c r="AA26" s="49" t="n"/>
      <c r="AB26" s="49" t="n"/>
      <c r="AC26" s="49" t="n"/>
      <c r="AD26" s="49" t="n"/>
      <c r="AE26" s="49" t="n"/>
      <c r="AF26" s="49" t="n"/>
      <c r="AG26" s="49" t="n"/>
      <c r="AH26" s="49" t="n"/>
      <c r="AI26" s="49" t="n"/>
      <c r="AJ26" s="50">
        <f>SUM(E26:AI26)</f>
        <v/>
      </c>
      <c r="AK26" s="50">
        <f>AJ26*D26</f>
        <v/>
      </c>
    </row>
    <row r="27" ht="25" customHeight="1">
      <c r="A27" s="740" t="inlineStr">
        <is>
          <t>△    -  ผู้ดำเนินกิจกรรม, นักกีฬา</t>
        </is>
      </c>
      <c r="B27" s="30" t="inlineStr">
        <is>
          <t>วัน</t>
        </is>
      </c>
      <c r="C27" s="31" t="inlineStr">
        <is>
          <t>เหมา</t>
        </is>
      </c>
      <c r="D27" s="30" t="n">
        <v>60</v>
      </c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  <c r="AD27" s="32" t="n"/>
      <c r="AE27" s="32" t="n"/>
      <c r="AF27" s="32" t="n"/>
      <c r="AG27" s="32" t="n"/>
      <c r="AH27" s="32" t="n"/>
      <c r="AI27" s="32" t="n"/>
      <c r="AJ27" s="5">
        <f>SUM(E27:AI27)</f>
        <v/>
      </c>
      <c r="AK27" s="5">
        <f>AJ27*D27</f>
        <v/>
      </c>
    </row>
    <row r="28" ht="25" customHeight="1">
      <c r="A28" s="740" t="inlineStr">
        <is>
          <t>△    -  ผู้ร่วมงาน</t>
        </is>
      </c>
      <c r="B28" s="30" t="inlineStr">
        <is>
          <t>วัน</t>
        </is>
      </c>
      <c r="C28" s="31" t="inlineStr">
        <is>
          <t>เหมา</t>
        </is>
      </c>
      <c r="D28" s="30" t="n">
        <v>30</v>
      </c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2" t="n"/>
      <c r="AC28" s="32" t="n"/>
      <c r="AD28" s="32" t="n"/>
      <c r="AE28" s="32" t="n"/>
      <c r="AF28" s="32" t="n"/>
      <c r="AG28" s="32" t="n"/>
      <c r="AH28" s="32" t="n"/>
      <c r="AI28" s="32" t="n"/>
      <c r="AJ28" s="33">
        <f>SUM(E28:AI28)</f>
        <v/>
      </c>
      <c r="AK28" s="33">
        <f>AJ28*D28</f>
        <v/>
      </c>
    </row>
    <row r="29" ht="25" customHeight="1">
      <c r="A29" s="40" t="inlineStr">
        <is>
          <t>2. นอก รพ.</t>
        </is>
      </c>
      <c r="B29" s="51" t="n"/>
      <c r="C29" s="52" t="n"/>
      <c r="D29" s="52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45" t="n"/>
      <c r="AK29" s="46" t="n"/>
    </row>
    <row r="30" ht="25" customHeight="1">
      <c r="A30" s="26" t="inlineStr">
        <is>
          <t xml:space="preserve">   -  หัวหน้าผู้รับผิดชอบราชการ</t>
        </is>
      </c>
      <c r="B30" s="47" t="inlineStr">
        <is>
          <t>วัน</t>
        </is>
      </c>
      <c r="C30" s="48" t="inlineStr">
        <is>
          <t>เหมา</t>
        </is>
      </c>
      <c r="D30" s="47" t="n">
        <v>60</v>
      </c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  <c r="R30" s="54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  <c r="AF30" s="54" t="n"/>
      <c r="AG30" s="54" t="n"/>
      <c r="AH30" s="54" t="n"/>
      <c r="AI30" s="54" t="n"/>
      <c r="AJ30" s="50">
        <f>SUM(E30:AI30)</f>
        <v/>
      </c>
      <c r="AK30" s="50">
        <f>AJ30*D30</f>
        <v/>
      </c>
    </row>
    <row r="31" ht="25" customHeight="1">
      <c r="A31" s="26" t="inlineStr">
        <is>
          <t xml:space="preserve">   -  ผู้ดำเนินกิจกรรม, นักกีฬา</t>
        </is>
      </c>
      <c r="B31" s="30" t="inlineStr">
        <is>
          <t>วัน</t>
        </is>
      </c>
      <c r="C31" s="31" t="inlineStr">
        <is>
          <t>เหมา</t>
        </is>
      </c>
      <c r="D31" s="30" t="n">
        <v>60</v>
      </c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5">
        <f>SUM(E31:AI31)</f>
        <v/>
      </c>
      <c r="AK31" s="5">
        <f>AJ31*D31</f>
        <v/>
      </c>
    </row>
    <row r="32" ht="25" customHeight="1">
      <c r="A32" s="26" t="inlineStr">
        <is>
          <t xml:space="preserve">   -  ผู้ร่วมงาน</t>
        </is>
      </c>
      <c r="B32" s="27" t="inlineStr">
        <is>
          <t>วัน</t>
        </is>
      </c>
      <c r="C32" s="28" t="inlineStr">
        <is>
          <t>เหมา</t>
        </is>
      </c>
      <c r="D32" s="27" t="n">
        <v>30</v>
      </c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33">
        <f>SUM(E32:AI32)</f>
        <v/>
      </c>
      <c r="AK32" s="33">
        <f>AJ32*D32</f>
        <v/>
      </c>
    </row>
    <row r="33" ht="50" customHeight="1">
      <c r="A33" s="741" t="inlineStr">
        <is>
          <t>◆ 3. ภารกิจสำคัญของ รพ./ตอบสนองนโยบาย ทร.</t>
        </is>
      </c>
      <c r="B33" s="51" t="n"/>
      <c r="C33" s="52" t="n"/>
      <c r="D33" s="52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45" t="n"/>
      <c r="AK33" s="46" t="n"/>
    </row>
    <row r="34" ht="50" customHeight="1">
      <c r="A34" s="742" t="inlineStr">
        <is>
          <t>◆    -  เข้าร่วมการฝึกซ้อมอัคคีภัย, อุบัติภัยหมู่ ฯลฯ ระดับ รพ.</t>
        </is>
      </c>
      <c r="B34" s="30" t="inlineStr">
        <is>
          <t>วัน</t>
        </is>
      </c>
      <c r="C34" s="31" t="inlineStr">
        <is>
          <t>เหมา</t>
        </is>
      </c>
      <c r="D34" s="30" t="n">
        <v>60</v>
      </c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5">
        <f>SUM(E34:AI34)</f>
        <v/>
      </c>
      <c r="AK34" s="5">
        <f>AJ34*D34</f>
        <v/>
      </c>
    </row>
    <row r="35" ht="50" customHeight="1">
      <c r="A35" s="742" t="inlineStr">
        <is>
          <t>◆    -  เข้าร่วมการฝึกซ้อมอัคคีภัย, อุบัติภัยหมู่ ฯลฯ ระดับหน่วยงาน</t>
        </is>
      </c>
      <c r="B35" s="27" t="inlineStr">
        <is>
          <t>วัน</t>
        </is>
      </c>
      <c r="C35" s="28" t="inlineStr">
        <is>
          <t>เหมา</t>
        </is>
      </c>
      <c r="D35" s="27" t="n">
        <v>30</v>
      </c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33">
        <f>SUM(E35:AI35)</f>
        <v/>
      </c>
      <c r="AK35" s="33">
        <f>AJ35*D35</f>
        <v/>
      </c>
    </row>
    <row r="36" ht="50" customHeight="1">
      <c r="A36" s="742" t="inlineStr">
        <is>
          <t>◆    -  เข้าร่วมการทดสอบสมรรถภาพทางกายกำลังพล</t>
        </is>
      </c>
      <c r="B36" s="27" t="inlineStr">
        <is>
          <t>วัน</t>
        </is>
      </c>
      <c r="C36" s="28" t="inlineStr">
        <is>
          <t>เหมา</t>
        </is>
      </c>
      <c r="D36" s="27" t="n">
        <v>30</v>
      </c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33">
        <f>SUM(E36:AI36)</f>
        <v/>
      </c>
      <c r="AK36" s="33">
        <f>AJ36*D36</f>
        <v/>
      </c>
    </row>
    <row r="37" ht="50" customHeight="1">
      <c r="A37" s="742" t="inlineStr">
        <is>
          <t>◆    -  คณะกรรมการการทดสอบสมรรถภาพทางกายกำลังพล</t>
        </is>
      </c>
      <c r="B37" s="27" t="inlineStr">
        <is>
          <t>วัน</t>
        </is>
      </c>
      <c r="C37" s="28" t="inlineStr">
        <is>
          <t>เหมา</t>
        </is>
      </c>
      <c r="D37" s="27" t="n">
        <v>60</v>
      </c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33">
        <f>SUM(E37:AI37)</f>
        <v/>
      </c>
      <c r="AK37" s="33">
        <f>AJ37*D37</f>
        <v/>
      </c>
    </row>
    <row r="38" ht="25" customHeight="1">
      <c r="A38" s="55" t="inlineStr">
        <is>
          <t>งานสถิติ/แผนงาน/นิเทศในหน่วยงาน</t>
        </is>
      </c>
      <c r="B38" s="41" t="n"/>
      <c r="C38" s="42" t="n"/>
      <c r="D38" s="43" t="n"/>
      <c r="E38" s="56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45" t="n"/>
      <c r="AK38" s="46" t="n"/>
    </row>
    <row r="39" ht="25" customHeight="1">
      <c r="A39" s="19" t="inlineStr">
        <is>
          <t>1. รวบรวมรายงานสถิติรายวัน</t>
        </is>
      </c>
      <c r="B39" s="57" t="inlineStr">
        <is>
          <t>รายการ</t>
        </is>
      </c>
      <c r="C39" s="48" t="inlineStr">
        <is>
          <t>เหมา</t>
        </is>
      </c>
      <c r="D39" s="57" t="n">
        <v>0.72</v>
      </c>
      <c r="E39" s="54" t="n"/>
      <c r="F39" s="54" t="n"/>
      <c r="G39" s="54" t="n"/>
      <c r="H39" s="54" t="n"/>
      <c r="I39" s="54" t="n"/>
      <c r="J39" s="54" t="n"/>
      <c r="K39" s="54" t="n"/>
      <c r="L39" s="54" t="n"/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4" t="n"/>
      <c r="Y39" s="54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0">
        <f>SUM(E39:AI39)</f>
        <v/>
      </c>
      <c r="AK39" s="50">
        <f>AJ39*D39</f>
        <v/>
      </c>
    </row>
    <row r="40" ht="25" customHeight="1">
      <c r="A40" s="19" t="inlineStr">
        <is>
          <t xml:space="preserve">2. รวบรวมรายงานสถิติรายเดือน </t>
        </is>
      </c>
      <c r="B40" s="58" t="inlineStr">
        <is>
          <t>รายการ</t>
        </is>
      </c>
      <c r="C40" s="28" t="inlineStr">
        <is>
          <t>เหมา</t>
        </is>
      </c>
      <c r="D40" s="58" t="n">
        <v>8.58</v>
      </c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5">
        <f>SUM(E40:AI40)</f>
        <v/>
      </c>
      <c r="AK40" s="5">
        <f>AJ40*D40</f>
        <v/>
      </c>
    </row>
    <row r="41" ht="25" customHeight="1">
      <c r="A41" s="19" t="inlineStr">
        <is>
          <t>3. รวบรวมข้อมูลสถิติความพึงพอใจ (2 ครั้ง/ปี)</t>
        </is>
      </c>
      <c r="B41" s="58" t="inlineStr">
        <is>
          <t>ครั้ง</t>
        </is>
      </c>
      <c r="C41" s="28" t="inlineStr">
        <is>
          <t>เหมา</t>
        </is>
      </c>
      <c r="D41" s="58" t="n">
        <v>8.58</v>
      </c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5">
        <f>SUM(E41:AI41)</f>
        <v/>
      </c>
      <c r="AK41" s="5">
        <f>AJ41*D41</f>
        <v/>
      </c>
    </row>
    <row r="42" ht="50" customFormat="1" customHeight="1" s="68">
      <c r="A42" s="743" t="inlineStr">
        <is>
          <t>◆ 4. แนะนำผู้รับบริการทำแบบประเมินความพึงพอใจรายวัน</t>
        </is>
      </c>
      <c r="B42" s="60" t="inlineStr">
        <is>
          <t>ครั้ง</t>
        </is>
      </c>
      <c r="C42" s="61" t="n">
        <v>2</v>
      </c>
      <c r="D42" s="62">
        <f>C42*0.143</f>
        <v/>
      </c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5">
        <f>SUM(E42:AI42)</f>
        <v/>
      </c>
      <c r="AK42" s="5">
        <f>AJ42*D42</f>
        <v/>
      </c>
    </row>
    <row r="43" ht="25" customHeight="1">
      <c r="A43" s="63" t="inlineStr">
        <is>
          <r>
            <t>5. จัดทำแผนประจำปี</t>
          </r>
          <r>
            <rPr>
              <rFont val="TH SarabunPSK"/>
              <family val="2"/>
              <b val="1"/>
              <color rgb="FFFF0000"/>
              <sz val="16"/>
            </rPr>
            <t xml:space="preserve"> (1 ครั้งในเดือน ม.ค.)</t>
          </r>
        </is>
      </c>
      <c r="B43" s="64" t="n"/>
      <c r="C43" s="65" t="n"/>
      <c r="D43" s="65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  <c r="AB43" s="43" t="n"/>
      <c r="AC43" s="43" t="n"/>
      <c r="AD43" s="43" t="n"/>
      <c r="AE43" s="43" t="n"/>
      <c r="AF43" s="43" t="n"/>
      <c r="AG43" s="43" t="n"/>
      <c r="AH43" s="43" t="n"/>
      <c r="AI43" s="43" t="n"/>
      <c r="AJ43" s="691" t="n"/>
      <c r="AK43" s="67" t="n"/>
      <c r="AL43" s="38" t="n"/>
    </row>
    <row r="44" ht="25" customHeight="1">
      <c r="A44" s="69" t="inlineStr">
        <is>
          <t xml:space="preserve">  - แผนปฏิบัติงานตามแผนยุทธศาสตร์องค์กร (ม.ค.)</t>
        </is>
      </c>
      <c r="B44" s="70" t="inlineStr">
        <is>
          <t>ปี</t>
        </is>
      </c>
      <c r="C44" s="48" t="inlineStr">
        <is>
          <t>เหมา</t>
        </is>
      </c>
      <c r="D44" s="71" t="n">
        <v>25.74</v>
      </c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5">
        <f>SUM(E44:AI44)</f>
        <v/>
      </c>
      <c r="AK44" s="5">
        <f>AJ44*D44</f>
        <v/>
      </c>
    </row>
    <row r="45" ht="25" customHeight="1">
      <c r="A45" s="69" t="inlineStr">
        <is>
          <t xml:space="preserve">  - แผนอัตรากำลัง (ก.ย.)</t>
        </is>
      </c>
      <c r="B45" s="72" t="inlineStr">
        <is>
          <t>ปี</t>
        </is>
      </c>
      <c r="C45" s="28" t="inlineStr">
        <is>
          <t>เหมา</t>
        </is>
      </c>
      <c r="D45" s="73" t="n">
        <v>25.74</v>
      </c>
      <c r="E45" s="74" t="n"/>
      <c r="F45" s="74" t="n"/>
      <c r="G45" s="74" t="n"/>
      <c r="H45" s="74" t="n"/>
      <c r="I45" s="74" t="n"/>
      <c r="J45" s="74" t="n"/>
      <c r="K45" s="74" t="n"/>
      <c r="L45" s="74" t="n"/>
      <c r="M45" s="74" t="n"/>
      <c r="N45" s="74" t="n"/>
      <c r="O45" s="74" t="n"/>
      <c r="P45" s="74" t="n"/>
      <c r="Q45" s="74" t="n"/>
      <c r="R45" s="74" t="n"/>
      <c r="S45" s="74" t="n"/>
      <c r="T45" s="74" t="n"/>
      <c r="U45" s="74" t="n"/>
      <c r="V45" s="74" t="n"/>
      <c r="W45" s="74" t="n"/>
      <c r="X45" s="74" t="n"/>
      <c r="Y45" s="74" t="n"/>
      <c r="Z45" s="74" t="n"/>
      <c r="AA45" s="74" t="n"/>
      <c r="AB45" s="74" t="n"/>
      <c r="AC45" s="74" t="n"/>
      <c r="AD45" s="74" t="n"/>
      <c r="AE45" s="74" t="n"/>
      <c r="AF45" s="74" t="n"/>
      <c r="AG45" s="74" t="n"/>
      <c r="AH45" s="74" t="n"/>
      <c r="AI45" s="74" t="n"/>
      <c r="AJ45" s="5">
        <f>SUM(E45:AI45)</f>
        <v/>
      </c>
      <c r="AK45" s="5">
        <f>AJ45*D45</f>
        <v/>
      </c>
    </row>
    <row r="46" ht="25" customHeight="1">
      <c r="A46" s="69" t="inlineStr">
        <is>
          <t xml:space="preserve">  - แผนพัฒนาบุคลากร (ต.ค.)</t>
        </is>
      </c>
      <c r="B46" s="72" t="inlineStr">
        <is>
          <t>ปี</t>
        </is>
      </c>
      <c r="C46" s="28" t="inlineStr">
        <is>
          <t>เหมา</t>
        </is>
      </c>
      <c r="D46" s="73" t="n">
        <v>25.74</v>
      </c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5">
        <f>SUM(E46:AI46)</f>
        <v/>
      </c>
      <c r="AK46" s="5">
        <f>AJ46*D46</f>
        <v/>
      </c>
    </row>
    <row r="47" ht="25" customHeight="1">
      <c r="A47" s="69" t="inlineStr">
        <is>
          <t xml:space="preserve">  - แผนนิเทศ ควบคุม กำกับงาน (มิ.ย.)</t>
        </is>
      </c>
      <c r="B47" s="72" t="inlineStr">
        <is>
          <t>ปี</t>
        </is>
      </c>
      <c r="C47" s="28" t="inlineStr">
        <is>
          <t>เหมา</t>
        </is>
      </c>
      <c r="D47" s="73" t="n">
        <v>25.74</v>
      </c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5">
        <f>SUM(E47:AI47)</f>
        <v/>
      </c>
      <c r="AK47" s="5">
        <f>AJ47*D47</f>
        <v/>
      </c>
      <c r="AM47" s="1" t="inlineStr">
        <is>
          <t xml:space="preserve"> </t>
        </is>
      </c>
    </row>
    <row r="48" ht="25" customHeight="1">
      <c r="A48" s="59" t="inlineStr">
        <is>
          <t xml:space="preserve">6.  สรุปการปฏิบัติตามแผน </t>
        </is>
      </c>
      <c r="B48" s="73" t="inlineStr">
        <is>
          <t>แผน</t>
        </is>
      </c>
      <c r="C48" s="28" t="inlineStr">
        <is>
          <t>เหมา</t>
        </is>
      </c>
      <c r="D48" s="73" t="n">
        <v>25.74</v>
      </c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  <c r="AA48" s="75" t="n"/>
      <c r="AB48" s="75" t="n"/>
      <c r="AC48" s="75" t="n"/>
      <c r="AD48" s="75" t="n"/>
      <c r="AE48" s="75" t="n"/>
      <c r="AF48" s="75" t="n"/>
      <c r="AG48" s="75" t="n"/>
      <c r="AH48" s="75" t="n"/>
      <c r="AI48" s="75" t="n"/>
      <c r="AJ48" s="5">
        <f>SUM(E48:AI48)</f>
        <v/>
      </c>
      <c r="AK48" s="5">
        <f>AJ48*D48</f>
        <v/>
      </c>
    </row>
    <row r="49" ht="25" customHeight="1">
      <c r="A49" s="76" t="inlineStr">
        <is>
          <t>7. สรุปนิเทศประจำเดือน</t>
        </is>
      </c>
      <c r="B49" s="27" t="inlineStr">
        <is>
          <t>เดือน</t>
        </is>
      </c>
      <c r="C49" s="28" t="inlineStr">
        <is>
          <t>เหมา</t>
        </is>
      </c>
      <c r="D49" s="27" t="n">
        <v>4.29</v>
      </c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5">
        <f>SUM(E49:AI49)</f>
        <v/>
      </c>
      <c r="AK49" s="5">
        <f>AJ49*D49</f>
        <v/>
      </c>
    </row>
    <row r="50" ht="25" customHeight="1">
      <c r="A50" s="77" t="inlineStr">
        <is>
          <t>การจัดเวร/เบิกค่าตอบแทน</t>
        </is>
      </c>
      <c r="B50" s="78" t="n"/>
      <c r="C50" s="79" t="n"/>
      <c r="D50" s="80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4" t="n"/>
      <c r="AK50" s="25" t="n"/>
    </row>
    <row r="51" ht="25" customHeight="1">
      <c r="A51" s="81" t="inlineStr">
        <is>
          <t>1.  จัดตารางเวร</t>
        </is>
      </c>
      <c r="B51" s="82" t="n"/>
      <c r="C51" s="83" t="n"/>
      <c r="D51" s="84" t="n"/>
      <c r="E51" s="52" t="n"/>
      <c r="F51" s="52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  <c r="AG51" s="52" t="n"/>
      <c r="AH51" s="52" t="n"/>
      <c r="AI51" s="52" t="n"/>
      <c r="AJ51" s="52" t="n"/>
      <c r="AK51" s="85" t="n"/>
    </row>
    <row r="52" ht="25" customHeight="1">
      <c r="A52" s="74" t="inlineStr">
        <is>
          <t>1.1 หัวหน้าเป็นผู้จัดตารางเวร</t>
        </is>
      </c>
      <c r="B52" s="27" t="inlineStr">
        <is>
          <t>เดือน</t>
        </is>
      </c>
      <c r="C52" s="28" t="inlineStr">
        <is>
          <t>เหมา</t>
        </is>
      </c>
      <c r="D52" s="86" t="n">
        <v>30</v>
      </c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5">
        <f>SUM(E52:AI52)</f>
        <v/>
      </c>
      <c r="AK52" s="5">
        <f>AJ52*D52</f>
        <v/>
      </c>
    </row>
    <row r="53" ht="25" customHeight="1">
      <c r="A53" s="74" t="inlineStr">
        <is>
          <t>1.2 หัวหน้าเป็นผู้ตรวจสอบตารางเวร</t>
        </is>
      </c>
      <c r="B53" s="27" t="inlineStr">
        <is>
          <t>เดือน</t>
        </is>
      </c>
      <c r="C53" s="28" t="inlineStr">
        <is>
          <t>เหมา</t>
        </is>
      </c>
      <c r="D53" s="86" t="n">
        <v>15</v>
      </c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5">
        <f>SUM(E53:AI53)</f>
        <v/>
      </c>
      <c r="AK53" s="5">
        <f>AJ53*D53</f>
        <v/>
      </c>
    </row>
    <row r="54" ht="25" customFormat="1" customHeight="1" s="68">
      <c r="A54" s="59" t="inlineStr">
        <is>
          <t xml:space="preserve">2. เบิกค่าตอบแทนเจ้าหน้าที่ </t>
        </is>
      </c>
      <c r="B54" s="41" t="n"/>
      <c r="C54" s="43" t="n"/>
      <c r="D54" s="52" t="n"/>
      <c r="E54" s="53" t="n"/>
      <c r="F54" s="53" t="n"/>
      <c r="G54" s="53" t="n"/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691" t="n"/>
      <c r="AK54" s="67" t="n"/>
    </row>
    <row r="55" ht="50" customHeight="1">
      <c r="A55" s="87" t="inlineStr">
        <is>
          <t>2.1 การเบิกค่าตอบแทนเวรนอกเวลา (แพทย์/ทันตแพทย์, พยาบาล, เจ้าหน้าที่อื่น ลงคะแนน 1ครั้ง/เดือน)</t>
        </is>
      </c>
      <c r="B55" s="27" t="inlineStr">
        <is>
          <t>เดือน</t>
        </is>
      </c>
      <c r="C55" s="28" t="inlineStr">
        <is>
          <t>เหมา</t>
        </is>
      </c>
      <c r="D55" s="86" t="n">
        <v>60</v>
      </c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5">
        <f>SUM(E55:AI55)</f>
        <v/>
      </c>
      <c r="AK55" s="5">
        <f>AJ55*D55</f>
        <v/>
      </c>
    </row>
    <row r="56" ht="25" customHeight="1">
      <c r="A56" s="74" t="inlineStr">
        <is>
          <t>2.2 หัวหน้าเบิกค่าตอบแทน P4P</t>
        </is>
      </c>
      <c r="B56" s="30" t="inlineStr">
        <is>
          <t>เดือน</t>
        </is>
      </c>
      <c r="C56" s="31" t="inlineStr">
        <is>
          <t>เหมา</t>
        </is>
      </c>
      <c r="D56" s="60" t="n">
        <v>60</v>
      </c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  <c r="AA56" s="88" t="n"/>
      <c r="AB56" s="88" t="n"/>
      <c r="AC56" s="88" t="n"/>
      <c r="AD56" s="88" t="n"/>
      <c r="AE56" s="88" t="n"/>
      <c r="AF56" s="88" t="n"/>
      <c r="AG56" s="88" t="n"/>
      <c r="AH56" s="88" t="n"/>
      <c r="AI56" s="88" t="n"/>
      <c r="AJ56" s="33">
        <f>SUM(E56:AI56)</f>
        <v/>
      </c>
      <c r="AK56" s="33">
        <f>AJ56*D56</f>
        <v/>
      </c>
    </row>
    <row r="57" ht="25" customHeight="1">
      <c r="A57" s="81" t="inlineStr">
        <is>
          <t>3. ตรวจสอบการเบิกค่าตอบแทน</t>
        </is>
      </c>
      <c r="B57" s="41" t="n"/>
      <c r="C57" s="43" t="n"/>
      <c r="D57" s="52" t="n"/>
      <c r="E57" s="53" t="n"/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89" t="n"/>
      <c r="AK57" s="46" t="n"/>
    </row>
    <row r="58" ht="25" customHeight="1">
      <c r="A58" s="69" t="inlineStr">
        <is>
          <t>3.1 ตรวจสอบการเบิกค่าตอบแทนเจ้าหน้าที่</t>
        </is>
      </c>
      <c r="B58" s="47" t="inlineStr">
        <is>
          <t>เดือน</t>
        </is>
      </c>
      <c r="C58" s="48" t="inlineStr">
        <is>
          <t>เหมา</t>
        </is>
      </c>
      <c r="D58" s="57" t="n">
        <v>10</v>
      </c>
      <c r="E58" s="54" t="n"/>
      <c r="F58" s="54" t="n"/>
      <c r="G58" s="54" t="n"/>
      <c r="H58" s="54" t="n"/>
      <c r="I58" s="54" t="n"/>
      <c r="J58" s="54" t="n"/>
      <c r="K58" s="54" t="n"/>
      <c r="L58" s="54" t="n"/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0">
        <f>SUM(E58:AI58)</f>
        <v/>
      </c>
      <c r="AK58" s="50">
        <f>AJ58*D58</f>
        <v/>
      </c>
    </row>
    <row r="59" ht="23.5" customHeight="1">
      <c r="A59" s="69" t="inlineStr">
        <is>
          <t>3.2 อนุมัติคะแนน P4P</t>
        </is>
      </c>
      <c r="B59" s="27" t="inlineStr">
        <is>
          <t>เดือน</t>
        </is>
      </c>
      <c r="C59" s="28" t="inlineStr">
        <is>
          <t>เหมา</t>
        </is>
      </c>
      <c r="D59" s="58" t="n">
        <v>5</v>
      </c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5">
        <f>SUM(E59:AI59)</f>
        <v/>
      </c>
      <c r="AK59" s="5">
        <f>AJ59*D59</f>
        <v/>
      </c>
    </row>
    <row r="60" ht="23.5" customHeight="1">
      <c r="A60" s="19" t="inlineStr">
        <is>
          <t>4. ตรวจสอบข้อมูลการสแกนเข้าออกของเจ้าหน้าที่ประจำเดือน</t>
        </is>
      </c>
      <c r="B60" s="15" t="inlineStr">
        <is>
          <t>เดือน</t>
        </is>
      </c>
      <c r="C60" s="60" t="inlineStr">
        <is>
          <t>เหมา</t>
        </is>
      </c>
      <c r="D60" s="60" t="n">
        <v>8.58</v>
      </c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5">
        <f>SUM(E60:AI60)</f>
        <v/>
      </c>
      <c r="AK60" s="5">
        <f>AJ60*D60</f>
        <v/>
      </c>
    </row>
    <row r="61" ht="24" customHeight="1">
      <c r="A61" s="34" t="inlineStr">
        <is>
          <t>การประเมินผลการปฏิบัติงาน/สัมภาษณ์เจ้าหน้าที่</t>
        </is>
      </c>
      <c r="B61" s="56" t="n"/>
      <c r="C61" s="53" t="n"/>
      <c r="D61" s="53" t="n"/>
      <c r="E61" s="53" t="n"/>
      <c r="F61" s="5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691" t="n"/>
      <c r="AK61" s="67" t="n"/>
    </row>
    <row r="62" ht="26.25" customHeight="1">
      <c r="A62" s="69" t="inlineStr">
        <is>
          <t>1. ประเมินผลนักศึกษา (Approve)</t>
        </is>
      </c>
      <c r="B62" s="54" t="inlineStr">
        <is>
          <t>ครั้ง</t>
        </is>
      </c>
      <c r="C62" s="54" t="inlineStr">
        <is>
          <t>เหมา</t>
        </is>
      </c>
      <c r="D62" s="57" t="n">
        <v>8.58</v>
      </c>
      <c r="E62" s="54" t="n"/>
      <c r="F62" s="54" t="n"/>
      <c r="G62" s="54" t="n"/>
      <c r="H62" s="54" t="n"/>
      <c r="I62" s="54" t="n"/>
      <c r="J62" s="54" t="n"/>
      <c r="K62" s="54" t="n"/>
      <c r="L62" s="54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">
        <f>SUM(E62:AI62)</f>
        <v/>
      </c>
      <c r="AK62" s="5">
        <f>AJ62*D62</f>
        <v/>
      </c>
      <c r="AL62" s="90" t="n"/>
      <c r="AM62" s="90" t="n"/>
      <c r="AN62" s="90" t="n"/>
    </row>
    <row r="63" ht="26.25" customHeight="1">
      <c r="A63" s="69" t="inlineStr">
        <is>
          <t>2. ประเมินผลการปฏิบัติงานเจ้าหน้าที่ KPI (2 ครั้ง/ปี)</t>
        </is>
      </c>
      <c r="B63" s="56" t="inlineStr">
        <is>
          <t>ราย</t>
        </is>
      </c>
      <c r="C63" s="54" t="inlineStr">
        <is>
          <t>เหมา</t>
        </is>
      </c>
      <c r="D63" s="58" t="n">
        <v>1.43</v>
      </c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5">
        <f>SUM(E63:AI63)</f>
        <v/>
      </c>
      <c r="AK63" s="5">
        <f>AJ63*D63</f>
        <v/>
      </c>
      <c r="AL63" s="90" t="n"/>
      <c r="AM63" s="90" t="n"/>
      <c r="AN63" s="90" t="n"/>
    </row>
    <row r="64" ht="26.25" customHeight="1">
      <c r="A64" s="69" t="inlineStr">
        <is>
          <t>3. ประเมินผลการปฏิบัติงานเจ้าหน้าที่ (สมรรถนะ)(1 ครั้ง/ปี)</t>
        </is>
      </c>
      <c r="B64" s="56" t="inlineStr">
        <is>
          <t>ราย</t>
        </is>
      </c>
      <c r="C64" s="54" t="inlineStr">
        <is>
          <t>เหมา</t>
        </is>
      </c>
      <c r="D64" s="58" t="n">
        <v>1.43</v>
      </c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5">
        <f>SUM(E64:AI64)</f>
        <v/>
      </c>
      <c r="AK64" s="5">
        <f>AJ64*D64</f>
        <v/>
      </c>
      <c r="AL64" s="90" t="n"/>
      <c r="AM64" s="90" t="n"/>
      <c r="AN64" s="90" t="n"/>
    </row>
    <row r="65" ht="26.25" customHeight="1">
      <c r="A65" s="69" t="inlineStr">
        <is>
          <t>4. สัมภาษณ์เจ้าหน้าที่ (มีคำสั่งเป็น คก.สัมภาษณ์)</t>
        </is>
      </c>
      <c r="B65" s="724" t="inlineStr">
        <is>
          <t>ราย</t>
        </is>
      </c>
      <c r="C65" s="15" t="inlineStr">
        <is>
          <t>เหมา</t>
        </is>
      </c>
      <c r="D65" s="91" t="n">
        <v>2.86</v>
      </c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91" t="n"/>
      <c r="T65" s="91" t="n"/>
      <c r="U65" s="91" t="n"/>
      <c r="V65" s="91" t="n"/>
      <c r="W65" s="91" t="n"/>
      <c r="X65" s="91" t="n"/>
      <c r="Y65" s="91" t="n"/>
      <c r="Z65" s="91" t="n"/>
      <c r="AA65" s="91" t="n"/>
      <c r="AB65" s="91" t="n"/>
      <c r="AC65" s="91" t="n"/>
      <c r="AD65" s="91" t="n"/>
      <c r="AE65" s="91" t="n"/>
      <c r="AF65" s="91" t="n"/>
      <c r="AG65" s="91" t="n"/>
      <c r="AH65" s="91" t="n"/>
      <c r="AI65" s="91" t="n"/>
      <c r="AJ65" s="33">
        <f>SUM(E65:AI65)</f>
        <v/>
      </c>
      <c r="AK65" s="33">
        <f>AJ65*D65</f>
        <v/>
      </c>
    </row>
    <row r="66" ht="24" customHeight="1">
      <c r="A66" s="34" t="inlineStr">
        <is>
          <t>งานครุภัณฑ์ / เวชภัณฑ์ / ยา</t>
        </is>
      </c>
      <c r="B66" s="56" t="n"/>
      <c r="C66" s="53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691" t="n"/>
      <c r="AK66" s="67" t="n"/>
    </row>
    <row r="67" ht="25" customHeight="1">
      <c r="A67" s="19" t="inlineStr">
        <is>
          <t xml:space="preserve">1. เปิดซองประกวดราคา </t>
        </is>
      </c>
      <c r="B67" s="71" t="inlineStr">
        <is>
          <t>รายการ</t>
        </is>
      </c>
      <c r="C67" s="92" t="inlineStr">
        <is>
          <t>เหมา</t>
        </is>
      </c>
      <c r="D67" s="92" t="n">
        <v>8.58</v>
      </c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  <c r="R67" s="93" t="n"/>
      <c r="S67" s="93" t="n"/>
      <c r="T67" s="93" t="n"/>
      <c r="U67" s="93" t="n"/>
      <c r="V67" s="93" t="n"/>
      <c r="W67" s="93" t="n"/>
      <c r="X67" s="93" t="n"/>
      <c r="Y67" s="93" t="n"/>
      <c r="Z67" s="93" t="n"/>
      <c r="AA67" s="93" t="n"/>
      <c r="AB67" s="93" t="n"/>
      <c r="AC67" s="93" t="n"/>
      <c r="AD67" s="93" t="n"/>
      <c r="AE67" s="93" t="n"/>
      <c r="AF67" s="93" t="n"/>
      <c r="AG67" s="93" t="n"/>
      <c r="AH67" s="93" t="n"/>
      <c r="AI67" s="93" t="n"/>
      <c r="AJ67" s="50">
        <f>SUM(E67:AI67)</f>
        <v/>
      </c>
      <c r="AK67" s="50">
        <f>AJ67*D67</f>
        <v/>
      </c>
    </row>
    <row r="68" ht="50" customHeight="1">
      <c r="A68" s="69" t="inlineStr">
        <is>
          <r>
            <rPr>
              <rFont val="TH SarabunPSK"/>
              <family val="2"/>
              <b val="1"/>
              <color theme="1"/>
              <sz val="16"/>
            </rPr>
            <t>2. เสนอ</t>
          </r>
          <r>
            <rPr>
              <rFont val="TH SarabunPSK"/>
              <family val="2"/>
              <color theme="1"/>
              <sz val="16"/>
            </rPr>
            <t>ความต้องการครุภัณฑ์ทางการแพทย์/
ครุภัณฑ์ประจำหน่วยงาน (ม.ค.)</t>
          </r>
        </is>
      </c>
      <c r="B68" s="73" t="inlineStr">
        <is>
          <t>ปี</t>
        </is>
      </c>
      <c r="C68" s="86" t="inlineStr">
        <is>
          <t>เหมา</t>
        </is>
      </c>
      <c r="D68" s="86" t="n">
        <v>30</v>
      </c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91" t="n"/>
      <c r="T68" s="91" t="n"/>
      <c r="U68" s="91" t="n"/>
      <c r="V68" s="91" t="n"/>
      <c r="W68" s="91" t="n"/>
      <c r="X68" s="91" t="n"/>
      <c r="Y68" s="91" t="n"/>
      <c r="Z68" s="91" t="n"/>
      <c r="AA68" s="91" t="n"/>
      <c r="AB68" s="91" t="n"/>
      <c r="AC68" s="91" t="n"/>
      <c r="AD68" s="91" t="n"/>
      <c r="AE68" s="91" t="n"/>
      <c r="AF68" s="91" t="n"/>
      <c r="AG68" s="91" t="n"/>
      <c r="AH68" s="91" t="n"/>
      <c r="AI68" s="91" t="n"/>
      <c r="AJ68" s="5">
        <f>SUM(E68:AI68)</f>
        <v/>
      </c>
      <c r="AK68" s="5">
        <f>AJ68*D68</f>
        <v/>
      </c>
    </row>
    <row r="69" ht="50" customHeight="1">
      <c r="A69" s="69" t="inlineStr">
        <is>
          <r>
            <rPr>
              <rFont val="TH SarabunPSK"/>
              <family val="2"/>
              <b val="1"/>
              <color theme="1"/>
              <sz val="16"/>
            </rPr>
            <t>3. สรุปยอด</t>
          </r>
          <r>
            <rPr>
              <rFont val="TH SarabunPSK"/>
              <family val="2"/>
              <color theme="1"/>
              <sz val="16"/>
            </rPr>
            <t>ครุภัณฑ์ทางการแพทย์/
ครุภัณฑ์ประจำหน่วยงาน (ก.ย.)</t>
          </r>
        </is>
      </c>
      <c r="B69" s="73" t="inlineStr">
        <is>
          <t>ปี</t>
        </is>
      </c>
      <c r="C69" s="86" t="inlineStr">
        <is>
          <t>เหมา</t>
        </is>
      </c>
      <c r="D69" s="86" t="n">
        <v>60</v>
      </c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91" t="n"/>
      <c r="Q69" s="91" t="n"/>
      <c r="R69" s="91" t="n"/>
      <c r="S69" s="91" t="n"/>
      <c r="T69" s="91" t="n"/>
      <c r="U69" s="91" t="n"/>
      <c r="V69" s="91" t="n"/>
      <c r="W69" s="91" t="n"/>
      <c r="X69" s="91" t="n"/>
      <c r="Y69" s="91" t="n"/>
      <c r="Z69" s="91" t="n"/>
      <c r="AA69" s="91" t="n"/>
      <c r="AB69" s="91" t="n"/>
      <c r="AC69" s="91" t="n"/>
      <c r="AD69" s="91" t="n"/>
      <c r="AE69" s="91" t="n"/>
      <c r="AF69" s="91" t="n"/>
      <c r="AG69" s="91" t="n"/>
      <c r="AH69" s="91" t="n"/>
      <c r="AI69" s="91" t="n"/>
      <c r="AJ69" s="5">
        <f>SUM(E69:AI69)</f>
        <v/>
      </c>
      <c r="AK69" s="5">
        <f>AJ69*D69</f>
        <v/>
      </c>
    </row>
    <row r="70" ht="50" customHeight="1">
      <c r="A70" s="69" t="inlineStr">
        <is>
          <r>
            <rPr>
              <rFont val="TH SarabunPSK"/>
              <family val="2"/>
              <b val="1"/>
              <color theme="1"/>
              <sz val="16"/>
            </rPr>
            <t>4. รับทราบการรับพัสดุ</t>
          </r>
          <r>
            <rPr>
              <rFont val="TH SarabunPSK"/>
              <family val="2"/>
              <color theme="1"/>
              <sz val="16"/>
            </rPr>
            <t>ครุภัณฑ์ทางการแพทย์/
ครุภัณฑ์ประจำหอผู้ป่วย</t>
          </r>
        </is>
      </c>
      <c r="B70" s="73" t="inlineStr">
        <is>
          <t>ครั้ง</t>
        </is>
      </c>
      <c r="C70" s="86" t="inlineStr">
        <is>
          <t>เหมา</t>
        </is>
      </c>
      <c r="D70" s="86" t="n">
        <v>1.43</v>
      </c>
      <c r="E70" s="91" t="n"/>
      <c r="F70" s="91" t="n"/>
      <c r="G70" s="91" t="n"/>
      <c r="H70" s="91" t="n"/>
      <c r="I70" s="91" t="n"/>
      <c r="J70" s="91" t="n"/>
      <c r="K70" s="91" t="n"/>
      <c r="L70" s="91" t="n"/>
      <c r="M70" s="91" t="n"/>
      <c r="N70" s="91" t="n"/>
      <c r="O70" s="91" t="n"/>
      <c r="P70" s="91" t="n"/>
      <c r="Q70" s="91" t="n"/>
      <c r="R70" s="91" t="n"/>
      <c r="S70" s="91" t="n"/>
      <c r="T70" s="91" t="n"/>
      <c r="U70" s="91" t="n"/>
      <c r="V70" s="91" t="n"/>
      <c r="W70" s="91" t="n"/>
      <c r="X70" s="91" t="n"/>
      <c r="Y70" s="91" t="n"/>
      <c r="Z70" s="91" t="n"/>
      <c r="AA70" s="91" t="n"/>
      <c r="AB70" s="91" t="n"/>
      <c r="AC70" s="91" t="n"/>
      <c r="AD70" s="91" t="n"/>
      <c r="AE70" s="91" t="n"/>
      <c r="AF70" s="91" t="n"/>
      <c r="AG70" s="91" t="n"/>
      <c r="AH70" s="91" t="n"/>
      <c r="AI70" s="91" t="n"/>
      <c r="AJ70" s="5">
        <f>SUM(E70:AI70)</f>
        <v/>
      </c>
      <c r="AK70" s="5">
        <f>AJ70*D70</f>
        <v/>
      </c>
    </row>
    <row r="71" ht="25" customHeight="1">
      <c r="A71" s="16" t="inlineStr">
        <is>
          <t>5. ขึ้นทะเบียนครุภัณฑ์</t>
        </is>
      </c>
      <c r="B71" s="14" t="inlineStr">
        <is>
          <t>รายการ</t>
        </is>
      </c>
      <c r="C71" s="71" t="inlineStr">
        <is>
          <t>เหมา</t>
        </is>
      </c>
      <c r="D71" s="14" t="n">
        <v>4.29</v>
      </c>
      <c r="E71" s="91" t="n"/>
      <c r="F71" s="91" t="n"/>
      <c r="G71" s="91" t="n"/>
      <c r="H71" s="91" t="n"/>
      <c r="I71" s="91" t="n"/>
      <c r="J71" s="91" t="n"/>
      <c r="K71" s="91" t="n"/>
      <c r="L71" s="91" t="n"/>
      <c r="M71" s="91" t="n"/>
      <c r="N71" s="91" t="n"/>
      <c r="O71" s="91" t="n"/>
      <c r="P71" s="91" t="n"/>
      <c r="Q71" s="91" t="n"/>
      <c r="R71" s="91" t="n"/>
      <c r="S71" s="91" t="n"/>
      <c r="T71" s="91" t="n"/>
      <c r="U71" s="91" t="n"/>
      <c r="V71" s="91" t="n"/>
      <c r="W71" s="91" t="n"/>
      <c r="X71" s="91" t="n"/>
      <c r="Y71" s="91" t="n"/>
      <c r="Z71" s="91" t="n"/>
      <c r="AA71" s="91" t="n"/>
      <c r="AB71" s="91" t="n"/>
      <c r="AC71" s="91" t="n"/>
      <c r="AD71" s="91" t="n"/>
      <c r="AE71" s="91" t="n"/>
      <c r="AF71" s="91" t="n"/>
      <c r="AG71" s="91" t="n"/>
      <c r="AH71" s="91" t="n"/>
      <c r="AI71" s="91" t="n"/>
      <c r="AJ71" s="5">
        <f>SUM(E71:AI71)</f>
        <v/>
      </c>
      <c r="AK71" s="5">
        <f>AJ71*D71</f>
        <v/>
      </c>
    </row>
    <row r="72" ht="25" customHeight="1">
      <c r="A72" s="69" t="inlineStr">
        <is>
          <t>6. แทงจำหน่าย/ย้าย/โอนครุภัณฑ์</t>
        </is>
      </c>
      <c r="B72" s="14" t="inlineStr">
        <is>
          <t>รายการ</t>
        </is>
      </c>
      <c r="C72" s="71" t="inlineStr">
        <is>
          <t>เหมา</t>
        </is>
      </c>
      <c r="D72" s="86" t="n">
        <v>8.58</v>
      </c>
      <c r="E72" s="91" t="n"/>
      <c r="F72" s="91" t="n"/>
      <c r="G72" s="91" t="n"/>
      <c r="H72" s="91" t="n"/>
      <c r="I72" s="91" t="n"/>
      <c r="J72" s="91" t="n"/>
      <c r="K72" s="91" t="n"/>
      <c r="L72" s="91" t="n"/>
      <c r="M72" s="91" t="n"/>
      <c r="N72" s="91" t="n"/>
      <c r="O72" s="91" t="n"/>
      <c r="P72" s="91" t="n"/>
      <c r="Q72" s="91" t="n"/>
      <c r="R72" s="91" t="n"/>
      <c r="S72" s="91" t="n"/>
      <c r="T72" s="91" t="n"/>
      <c r="U72" s="91" t="n"/>
      <c r="V72" s="91" t="n"/>
      <c r="W72" s="91" t="n"/>
      <c r="X72" s="91" t="n"/>
      <c r="Y72" s="91" t="n"/>
      <c r="Z72" s="91" t="n"/>
      <c r="AA72" s="91" t="n"/>
      <c r="AB72" s="91" t="n"/>
      <c r="AC72" s="91" t="n"/>
      <c r="AD72" s="91" t="n"/>
      <c r="AE72" s="91" t="n"/>
      <c r="AF72" s="91" t="n"/>
      <c r="AG72" s="91" t="n"/>
      <c r="AH72" s="91" t="n"/>
      <c r="AI72" s="91" t="n"/>
      <c r="AJ72" s="5">
        <f>SUM(E72:AI72)</f>
        <v/>
      </c>
      <c r="AK72" s="5">
        <f>AJ72*D72</f>
        <v/>
      </c>
    </row>
    <row r="73" ht="50" customHeight="1">
      <c r="A73" s="69" t="inlineStr">
        <is>
          <r>
            <t xml:space="preserve">7. กำหนด </t>
          </r>
          <r>
            <rPr>
              <rFont val="TH SarabunPSK"/>
              <family val="2"/>
              <b val="1"/>
              <color theme="1"/>
              <sz val="16"/>
            </rPr>
            <t>Spec/ร่าง TOR/กำหนดคุณลักษณะ</t>
          </r>
          <r>
            <rPr>
              <rFont val="TH SarabunPSK"/>
              <family val="2"/>
              <color theme="1"/>
              <sz val="16"/>
            </rPr>
            <t>
 </t>
          </r>
          <r>
            <rPr>
              <rFont val="TH SarabunPSK"/>
              <family val="2"/>
              <color rgb="FFFF0000"/>
              <sz val="16"/>
            </rPr>
            <t>ประธาน 3 เท่า,เลขา 2.5 เท่า, กรรมการ 2 เท่า</t>
          </r>
        </is>
      </c>
      <c r="B73" s="14" t="inlineStr">
        <is>
          <t>รายการ</t>
        </is>
      </c>
      <c r="C73" s="71" t="inlineStr">
        <is>
          <t>เหมา</t>
        </is>
      </c>
      <c r="D73" s="60" t="n">
        <v>60.06</v>
      </c>
      <c r="E73" s="91" t="n"/>
      <c r="F73" s="91" t="n"/>
      <c r="G73" s="91" t="n"/>
      <c r="H73" s="91" t="n"/>
      <c r="I73" s="91" t="n"/>
      <c r="J73" s="91" t="n"/>
      <c r="K73" s="91" t="n"/>
      <c r="L73" s="91" t="n"/>
      <c r="M73" s="91" t="n"/>
      <c r="N73" s="91" t="n"/>
      <c r="O73" s="91" t="n"/>
      <c r="P73" s="91" t="n"/>
      <c r="Q73" s="91" t="n"/>
      <c r="R73" s="91" t="n"/>
      <c r="S73" s="91" t="n"/>
      <c r="T73" s="91" t="n"/>
      <c r="U73" s="91" t="n"/>
      <c r="V73" s="91" t="n"/>
      <c r="W73" s="91" t="n"/>
      <c r="X73" s="91" t="n"/>
      <c r="Y73" s="91" t="n"/>
      <c r="Z73" s="91" t="n"/>
      <c r="AA73" s="91" t="n"/>
      <c r="AB73" s="91" t="n"/>
      <c r="AC73" s="91" t="n"/>
      <c r="AD73" s="91" t="n"/>
      <c r="AE73" s="91" t="n"/>
      <c r="AF73" s="91" t="n"/>
      <c r="AG73" s="91" t="n"/>
      <c r="AH73" s="91" t="n"/>
      <c r="AI73" s="91" t="n"/>
      <c r="AJ73" s="5">
        <f>SUM(E73:AI73)</f>
        <v/>
      </c>
      <c r="AK73" s="5">
        <f>AJ73*D73</f>
        <v/>
      </c>
    </row>
    <row r="74" ht="50" customHeight="1">
      <c r="A74" s="94" t="inlineStr">
        <is>
          <r>
            <t xml:space="preserve">8. ตรวจรับครุภัณฑ์การแพทย์ราคา  </t>
          </r>
          <r>
            <rPr>
              <rFont val="TH SarabunPSK"/>
              <family val="2"/>
              <b val="1"/>
              <color theme="1"/>
              <sz val="16"/>
            </rPr>
            <t>&gt;500,000 บาท</t>
          </r>
          <r>
            <rPr>
              <rFont val="TH SarabunPSK"/>
              <family val="2"/>
              <color theme="1"/>
              <sz val="16"/>
            </rPr>
            <t>
 </t>
          </r>
          <r>
            <rPr>
              <rFont val="TH SarabunPSK"/>
              <family val="2"/>
              <color rgb="FFFF0000"/>
              <sz val="16"/>
            </rPr>
            <t>ประธาน 3 เท่า, เลขา 2.5 เท่า, กรรมการ 2 เท่า</t>
          </r>
        </is>
      </c>
      <c r="B74" s="14" t="inlineStr">
        <is>
          <t>รายการ</t>
        </is>
      </c>
      <c r="C74" s="71" t="inlineStr">
        <is>
          <t>เหมา</t>
        </is>
      </c>
      <c r="D74" s="86" t="n">
        <v>30</v>
      </c>
      <c r="E74" s="91" t="n"/>
      <c r="F74" s="91" t="n"/>
      <c r="G74" s="91" t="n"/>
      <c r="H74" s="91" t="n"/>
      <c r="I74" s="91" t="n"/>
      <c r="J74" s="91" t="n"/>
      <c r="K74" s="91" t="n"/>
      <c r="L74" s="91" t="n"/>
      <c r="M74" s="91" t="n"/>
      <c r="N74" s="91" t="n"/>
      <c r="O74" s="91" t="n"/>
      <c r="P74" s="91" t="n"/>
      <c r="Q74" s="91" t="n"/>
      <c r="R74" s="91" t="n"/>
      <c r="S74" s="91" t="n"/>
      <c r="T74" s="91" t="n"/>
      <c r="U74" s="91" t="n"/>
      <c r="V74" s="91" t="n"/>
      <c r="W74" s="91" t="n"/>
      <c r="X74" s="91" t="n"/>
      <c r="Y74" s="91" t="n"/>
      <c r="Z74" s="91" t="n"/>
      <c r="AA74" s="91" t="n"/>
      <c r="AB74" s="91" t="n"/>
      <c r="AC74" s="91" t="n"/>
      <c r="AD74" s="91" t="n"/>
      <c r="AE74" s="91" t="n"/>
      <c r="AF74" s="91" t="n"/>
      <c r="AG74" s="91" t="n"/>
      <c r="AH74" s="91" t="n"/>
      <c r="AI74" s="91" t="n"/>
      <c r="AJ74" s="5">
        <f>SUM(E74:AI74)</f>
        <v/>
      </c>
      <c r="AK74" s="5">
        <f>AJ74*D74</f>
        <v/>
      </c>
    </row>
    <row r="75" ht="50" customHeight="1">
      <c r="A75" s="69" t="inlineStr">
        <is>
          <r>
            <t xml:space="preserve">9. ตรวจรับครุภัณฑ์การแพทย์ราคา  </t>
          </r>
          <r>
            <rPr>
              <rFont val="TH SarabunPSK"/>
              <family val="2"/>
              <b val="1"/>
              <color theme="1"/>
              <sz val="16"/>
            </rPr>
            <t>&lt;500,000 บาท</t>
          </r>
          <r>
            <rPr>
              <rFont val="TH SarabunPSK"/>
              <family val="2"/>
              <color theme="1"/>
              <sz val="16"/>
            </rPr>
            <t>
</t>
          </r>
          <r>
            <rPr>
              <rFont val="TH SarabunPSK"/>
              <family val="2"/>
              <color rgb="FFFF0000"/>
              <sz val="16"/>
            </rPr>
            <t xml:space="preserve"> ประธาน 3 เท่า, เลขา 2.5 เท่า, กรรมการ 2 เท่า</t>
          </r>
        </is>
      </c>
      <c r="B75" s="14" t="inlineStr">
        <is>
          <t>รายการ</t>
        </is>
      </c>
      <c r="C75" s="71" t="inlineStr">
        <is>
          <t>เหมา</t>
        </is>
      </c>
      <c r="D75" s="86" t="n">
        <v>20</v>
      </c>
      <c r="E75" s="91" t="n"/>
      <c r="F75" s="91" t="n"/>
      <c r="G75" s="91" t="n"/>
      <c r="H75" s="91" t="n"/>
      <c r="I75" s="91" t="n"/>
      <c r="J75" s="91" t="n"/>
      <c r="K75" s="91" t="n"/>
      <c r="L75" s="91" t="n"/>
      <c r="M75" s="91" t="n"/>
      <c r="N75" s="91" t="n"/>
      <c r="O75" s="91" t="n"/>
      <c r="P75" s="91" t="n"/>
      <c r="Q75" s="91" t="n"/>
      <c r="R75" s="91" t="n"/>
      <c r="S75" s="91" t="n"/>
      <c r="T75" s="91" t="n"/>
      <c r="U75" s="91" t="n"/>
      <c r="V75" s="91" t="n"/>
      <c r="W75" s="91" t="n"/>
      <c r="X75" s="91" t="n"/>
      <c r="Y75" s="91" t="n"/>
      <c r="Z75" s="91" t="n"/>
      <c r="AA75" s="91" t="n"/>
      <c r="AB75" s="91" t="n"/>
      <c r="AC75" s="91" t="n"/>
      <c r="AD75" s="91" t="n"/>
      <c r="AE75" s="91" t="n"/>
      <c r="AF75" s="91" t="n"/>
      <c r="AG75" s="91" t="n"/>
      <c r="AH75" s="91" t="n"/>
      <c r="AI75" s="91" t="n"/>
      <c r="AJ75" s="5">
        <f>SUM(E75:AI75)</f>
        <v/>
      </c>
      <c r="AK75" s="5">
        <f>AJ75*D75</f>
        <v/>
      </c>
    </row>
    <row r="76" ht="50" customHeight="1">
      <c r="A76" s="69" t="inlineStr">
        <is>
          <t xml:space="preserve">10. รายงาน/ตรวจสอบครุภัณฑ์ /เวชภัณฑ์ / ยา 
ประจำปี </t>
        </is>
      </c>
      <c r="B76" s="73" t="inlineStr">
        <is>
          <t>ปี</t>
        </is>
      </c>
      <c r="C76" s="86" t="inlineStr">
        <is>
          <t>เหมา</t>
        </is>
      </c>
      <c r="D76" s="86" t="n">
        <v>60.06</v>
      </c>
      <c r="E76" s="91" t="n"/>
      <c r="F76" s="91" t="n"/>
      <c r="G76" s="91" t="n"/>
      <c r="H76" s="91" t="n"/>
      <c r="I76" s="91" t="n"/>
      <c r="J76" s="91" t="n"/>
      <c r="K76" s="91" t="n"/>
      <c r="L76" s="91" t="n"/>
      <c r="M76" s="91" t="n"/>
      <c r="N76" s="91" t="n"/>
      <c r="O76" s="91" t="n"/>
      <c r="P76" s="91" t="n"/>
      <c r="Q76" s="91" t="n"/>
      <c r="R76" s="91" t="n"/>
      <c r="S76" s="91" t="n"/>
      <c r="T76" s="91" t="n"/>
      <c r="U76" s="91" t="n"/>
      <c r="V76" s="91" t="n"/>
      <c r="W76" s="91" t="n"/>
      <c r="X76" s="91" t="n"/>
      <c r="Y76" s="91" t="n"/>
      <c r="Z76" s="91" t="n"/>
      <c r="AA76" s="91" t="n"/>
      <c r="AB76" s="91" t="n"/>
      <c r="AC76" s="91" t="n"/>
      <c r="AD76" s="91" t="n"/>
      <c r="AE76" s="91" t="n"/>
      <c r="AF76" s="91" t="n"/>
      <c r="AG76" s="91" t="n"/>
      <c r="AH76" s="91" t="n"/>
      <c r="AI76" s="91" t="n"/>
      <c r="AJ76" s="5">
        <f>SUM(E76:AI76)</f>
        <v/>
      </c>
      <c r="AK76" s="5">
        <f>AJ76*D76</f>
        <v/>
      </c>
    </row>
    <row r="77" ht="50" customHeight="1">
      <c r="A77" s="69" t="inlineStr">
        <is>
          <r>
            <t xml:space="preserve">11. รายงาน/ตรวจสอบครุภัณฑ์ /เวชภัณฑ์ / ยา ประจำปี </t>
          </r>
          <r>
            <rPr>
              <rFont val="TH SarabunPSK"/>
              <family val="2"/>
              <b val="1"/>
              <color rgb="FFFF0000"/>
              <sz val="16"/>
            </rPr>
            <t>(มีคำสั่ง)</t>
          </r>
        </is>
      </c>
      <c r="B77" s="61" t="inlineStr">
        <is>
          <t>ปี</t>
        </is>
      </c>
      <c r="C77" s="60" t="inlineStr">
        <is>
          <t>เหมา</t>
        </is>
      </c>
      <c r="D77" s="60" t="n">
        <v>60.06</v>
      </c>
      <c r="E77" s="91" t="n"/>
      <c r="F77" s="91" t="n"/>
      <c r="G77" s="91" t="n"/>
      <c r="H77" s="91" t="n"/>
      <c r="I77" s="91" t="n"/>
      <c r="J77" s="91" t="n"/>
      <c r="K77" s="91" t="n"/>
      <c r="L77" s="91" t="n"/>
      <c r="M77" s="91" t="n"/>
      <c r="N77" s="91" t="n"/>
      <c r="O77" s="91" t="n"/>
      <c r="P77" s="91" t="n"/>
      <c r="Q77" s="91" t="n"/>
      <c r="R77" s="91" t="n"/>
      <c r="S77" s="91" t="n"/>
      <c r="T77" s="91" t="n"/>
      <c r="U77" s="91" t="n"/>
      <c r="V77" s="91" t="n"/>
      <c r="W77" s="91" t="n"/>
      <c r="X77" s="91" t="n"/>
      <c r="Y77" s="91" t="n"/>
      <c r="Z77" s="91" t="n"/>
      <c r="AA77" s="91" t="n"/>
      <c r="AB77" s="91" t="n"/>
      <c r="AC77" s="91" t="n"/>
      <c r="AD77" s="91" t="n"/>
      <c r="AE77" s="91" t="n"/>
      <c r="AF77" s="91" t="n"/>
      <c r="AG77" s="91" t="n"/>
      <c r="AH77" s="91" t="n"/>
      <c r="AI77" s="91" t="n"/>
      <c r="AJ77" s="33">
        <f>SUM(E77:AI77)</f>
        <v/>
      </c>
      <c r="AK77" s="33">
        <f>AJ77*D77</f>
        <v/>
      </c>
    </row>
    <row r="78" ht="25" customHeight="1">
      <c r="A78" s="34" t="inlineStr">
        <is>
          <t>การจัดการความเสี่ยง</t>
        </is>
      </c>
      <c r="B78" s="82" t="n"/>
      <c r="C78" s="95" t="n"/>
      <c r="D78" s="95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691" t="n"/>
      <c r="AK78" s="67" t="n"/>
    </row>
    <row r="79" ht="25" customHeight="1">
      <c r="A79" s="69" t="inlineStr">
        <is>
          <t>1. รายงานความเสี่ยง HRMS / เอกสารอื่น ๆ</t>
        </is>
      </c>
      <c r="B79" s="54" t="inlineStr">
        <is>
          <t>ราย</t>
        </is>
      </c>
      <c r="C79" s="92" t="inlineStr">
        <is>
          <t>เหมา</t>
        </is>
      </c>
      <c r="D79" s="92" t="n">
        <v>4.29</v>
      </c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  <c r="R79" s="93" t="n"/>
      <c r="S79" s="93" t="n"/>
      <c r="T79" s="93" t="n"/>
      <c r="U79" s="93" t="n"/>
      <c r="V79" s="93" t="n"/>
      <c r="W79" s="93" t="n"/>
      <c r="X79" s="93" t="n"/>
      <c r="Y79" s="93" t="n"/>
      <c r="Z79" s="93" t="n"/>
      <c r="AA79" s="93" t="n"/>
      <c r="AB79" s="93" t="n"/>
      <c r="AC79" s="93" t="n"/>
      <c r="AD79" s="93" t="n"/>
      <c r="AE79" s="93" t="n"/>
      <c r="AF79" s="93" t="n"/>
      <c r="AG79" s="93" t="n"/>
      <c r="AH79" s="93" t="n"/>
      <c r="AI79" s="93" t="n"/>
      <c r="AJ79" s="50">
        <f>SUM(E79:AI79)</f>
        <v/>
      </c>
      <c r="AK79" s="50">
        <f>AJ79*D79</f>
        <v/>
      </c>
    </row>
    <row r="80" ht="25" customHeight="1">
      <c r="A80" s="69" t="inlineStr">
        <is>
          <t xml:space="preserve">2. การยืนยัน HRMS และการแก้ไขในระบบ </t>
        </is>
      </c>
      <c r="B80" s="14" t="inlineStr">
        <is>
          <t>ราย</t>
        </is>
      </c>
      <c r="C80" s="86" t="inlineStr">
        <is>
          <t>เหมา</t>
        </is>
      </c>
      <c r="D80" s="86" t="n">
        <v>4.29</v>
      </c>
      <c r="E80" s="91" t="n"/>
      <c r="F80" s="91" t="n"/>
      <c r="G80" s="91" t="n"/>
      <c r="H80" s="91" t="n"/>
      <c r="I80" s="91" t="n"/>
      <c r="J80" s="91" t="n"/>
      <c r="K80" s="91" t="n"/>
      <c r="L80" s="91" t="n"/>
      <c r="M80" s="91" t="n"/>
      <c r="N80" s="91" t="n"/>
      <c r="O80" s="91" t="n"/>
      <c r="P80" s="91" t="n"/>
      <c r="Q80" s="91" t="n"/>
      <c r="R80" s="91" t="n"/>
      <c r="S80" s="91" t="n"/>
      <c r="T80" s="91" t="n"/>
      <c r="U80" s="91" t="n"/>
      <c r="V80" s="91" t="n"/>
      <c r="W80" s="91" t="n"/>
      <c r="X80" s="91" t="n"/>
      <c r="Y80" s="91" t="n"/>
      <c r="Z80" s="91" t="n"/>
      <c r="AA80" s="91" t="n"/>
      <c r="AB80" s="91" t="n"/>
      <c r="AC80" s="91" t="n"/>
      <c r="AD80" s="91" t="n"/>
      <c r="AE80" s="91" t="n"/>
      <c r="AF80" s="91" t="n"/>
      <c r="AG80" s="91" t="n"/>
      <c r="AH80" s="91" t="n"/>
      <c r="AI80" s="91" t="n"/>
      <c r="AJ80" s="5">
        <f>SUM(E80:AI80)</f>
        <v/>
      </c>
      <c r="AK80" s="5">
        <f>AJ80*D80</f>
        <v/>
      </c>
    </row>
    <row r="81" ht="25" customHeight="1">
      <c r="A81" s="69" t="inlineStr">
        <is>
          <t>3. ตอบข้อร้องเรียนความเสี่ยง</t>
        </is>
      </c>
      <c r="B81" s="14" t="inlineStr">
        <is>
          <t>ราย</t>
        </is>
      </c>
      <c r="C81" s="86" t="inlineStr">
        <is>
          <t>เหมา</t>
        </is>
      </c>
      <c r="D81" s="86" t="n">
        <v>8.58</v>
      </c>
      <c r="E81" s="91" t="n"/>
      <c r="F81" s="91" t="n"/>
      <c r="G81" s="91" t="n"/>
      <c r="H81" s="91" t="n"/>
      <c r="I81" s="91" t="n"/>
      <c r="J81" s="91" t="n"/>
      <c r="K81" s="91" t="n"/>
      <c r="L81" s="91" t="n"/>
      <c r="M81" s="91" t="n"/>
      <c r="N81" s="91" t="n"/>
      <c r="O81" s="91" t="n"/>
      <c r="P81" s="91" t="n"/>
      <c r="Q81" s="91" t="n"/>
      <c r="R81" s="91" t="n"/>
      <c r="S81" s="91" t="n"/>
      <c r="T81" s="91" t="n"/>
      <c r="U81" s="91" t="n"/>
      <c r="V81" s="91" t="n"/>
      <c r="W81" s="91" t="n"/>
      <c r="X81" s="91" t="n"/>
      <c r="Y81" s="91" t="n"/>
      <c r="Z81" s="91" t="n"/>
      <c r="AA81" s="91" t="n"/>
      <c r="AB81" s="91" t="n"/>
      <c r="AC81" s="91" t="n"/>
      <c r="AD81" s="91" t="n"/>
      <c r="AE81" s="91" t="n"/>
      <c r="AF81" s="91" t="n"/>
      <c r="AG81" s="91" t="n"/>
      <c r="AH81" s="91" t="n"/>
      <c r="AI81" s="91" t="n"/>
      <c r="AJ81" s="5">
        <f>SUM(E81:AI81)</f>
        <v/>
      </c>
      <c r="AK81" s="5">
        <f>AJ81*D81</f>
        <v/>
      </c>
    </row>
    <row r="82" ht="25" customHeight="1">
      <c r="A82" s="16" t="inlineStr">
        <is>
          <t>4. การบริหารจัดการความเสี่ยงกับผู้รับบริการ</t>
        </is>
      </c>
      <c r="B82" s="15" t="inlineStr">
        <is>
          <t>ครั้ง</t>
        </is>
      </c>
      <c r="C82" s="96" t="inlineStr">
        <is>
          <t>เหมา</t>
        </is>
      </c>
      <c r="D82" s="15" t="n">
        <v>4.29</v>
      </c>
      <c r="E82" s="91" t="n"/>
      <c r="F82" s="91" t="n"/>
      <c r="G82" s="91" t="n"/>
      <c r="H82" s="91" t="n"/>
      <c r="I82" s="91" t="n"/>
      <c r="J82" s="91" t="n"/>
      <c r="K82" s="91" t="n"/>
      <c r="L82" s="91" t="n"/>
      <c r="M82" s="91" t="n"/>
      <c r="N82" s="91" t="n"/>
      <c r="O82" s="91" t="n"/>
      <c r="P82" s="91" t="n"/>
      <c r="Q82" s="91" t="n"/>
      <c r="R82" s="91" t="n"/>
      <c r="S82" s="91" t="n"/>
      <c r="T82" s="91" t="n"/>
      <c r="U82" s="91" t="n"/>
      <c r="V82" s="91" t="n"/>
      <c r="W82" s="91" t="n"/>
      <c r="X82" s="91" t="n"/>
      <c r="Y82" s="91" t="n"/>
      <c r="Z82" s="91" t="n"/>
      <c r="AA82" s="91" t="n"/>
      <c r="AB82" s="91" t="n"/>
      <c r="AC82" s="91" t="n"/>
      <c r="AD82" s="91" t="n"/>
      <c r="AE82" s="91" t="n"/>
      <c r="AF82" s="91" t="n"/>
      <c r="AG82" s="91" t="n"/>
      <c r="AH82" s="91" t="n"/>
      <c r="AI82" s="91" t="n"/>
      <c r="AJ82" s="33">
        <f>SUM(E82:AI82)</f>
        <v/>
      </c>
      <c r="AK82" s="33">
        <f>AJ82*D82</f>
        <v/>
      </c>
    </row>
    <row r="83" ht="25" customHeight="1">
      <c r="A83" s="97" t="inlineStr">
        <is>
          <t>การจัดโครงการในโรงพยาบาล</t>
        </is>
      </c>
      <c r="B83" s="98" t="n"/>
      <c r="C83" s="99" t="n"/>
      <c r="D83" s="99" t="n"/>
      <c r="E83" s="100" t="n"/>
      <c r="F83" s="100" t="n"/>
      <c r="G83" s="100" t="n"/>
      <c r="H83" s="100" t="n"/>
      <c r="I83" s="100" t="n"/>
      <c r="J83" s="100" t="n"/>
      <c r="K83" s="100" t="n"/>
      <c r="L83" s="100" t="n"/>
      <c r="M83" s="100" t="n"/>
      <c r="N83" s="100" t="n"/>
      <c r="O83" s="100" t="n"/>
      <c r="P83" s="100" t="n"/>
      <c r="Q83" s="100" t="n"/>
      <c r="R83" s="100" t="n"/>
      <c r="S83" s="100" t="n"/>
      <c r="T83" s="100" t="n"/>
      <c r="U83" s="100" t="n"/>
      <c r="V83" s="100" t="n"/>
      <c r="W83" s="100" t="n"/>
      <c r="X83" s="100" t="n"/>
      <c r="Y83" s="100" t="n"/>
      <c r="Z83" s="100" t="n"/>
      <c r="AA83" s="100" t="n"/>
      <c r="AB83" s="100" t="n"/>
      <c r="AC83" s="100" t="n"/>
      <c r="AD83" s="100" t="n"/>
      <c r="AE83" s="100" t="n"/>
      <c r="AF83" s="100" t="n"/>
      <c r="AG83" s="100" t="n"/>
      <c r="AH83" s="100" t="n"/>
      <c r="AI83" s="100" t="n"/>
      <c r="AJ83" s="24" t="n"/>
      <c r="AK83" s="25" t="n"/>
    </row>
    <row r="84" ht="25" customHeight="1">
      <c r="A84" s="101" t="inlineStr">
        <is>
          <t>1. การจัดทำโครงการ</t>
        </is>
      </c>
      <c r="B84" s="102" t="n"/>
      <c r="C84" s="103" t="n"/>
      <c r="D84" s="103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691" t="n"/>
      <c r="AK84" s="67" t="n"/>
    </row>
    <row r="85" ht="50" customHeight="1">
      <c r="A85" s="16" t="inlineStr">
        <is>
          <t>- โครงการผ่านอนุมัติดำเนินการ (กรุณาระบุหมายเหตุโครงการ ให้คะแนน 1 โครงการ : 1 ครั้ง)</t>
        </is>
      </c>
      <c r="B85" s="104" t="inlineStr">
        <is>
          <t>ครั้ง</t>
        </is>
      </c>
      <c r="C85" s="104" t="inlineStr">
        <is>
          <t>เหมา</t>
        </is>
      </c>
      <c r="D85" s="104" t="n">
        <v>60.06</v>
      </c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  <c r="R85" s="93" t="n"/>
      <c r="S85" s="93" t="n"/>
      <c r="T85" s="93" t="n"/>
      <c r="U85" s="93" t="n"/>
      <c r="V85" s="93" t="n"/>
      <c r="W85" s="93" t="n"/>
      <c r="X85" s="93" t="n"/>
      <c r="Y85" s="93" t="n"/>
      <c r="Z85" s="93" t="n"/>
      <c r="AA85" s="93" t="n"/>
      <c r="AB85" s="93" t="n"/>
      <c r="AC85" s="93" t="n"/>
      <c r="AD85" s="93" t="n"/>
      <c r="AE85" s="93" t="n"/>
      <c r="AF85" s="93" t="n"/>
      <c r="AG85" s="93" t="n"/>
      <c r="AH85" s="93" t="n"/>
      <c r="AI85" s="93" t="n"/>
      <c r="AJ85" s="105">
        <f>SUM(E85:AI85)</f>
        <v/>
      </c>
      <c r="AK85" s="105">
        <f>AJ85*D85</f>
        <v/>
      </c>
    </row>
    <row r="86" ht="25" customHeight="1">
      <c r="A86" s="101" t="inlineStr">
        <is>
          <t>2. วันที่ดำเนินโครงการ/กิจกรรม</t>
        </is>
      </c>
      <c r="B86" s="106" t="n"/>
      <c r="C86" s="107" t="n"/>
      <c r="D86" s="107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691" t="n"/>
      <c r="AK86" s="67" t="n"/>
    </row>
    <row r="87" ht="50" customHeight="1">
      <c r="A87" s="16" t="inlineStr">
        <is>
          <t>- Project manager (กรุณาระบุหมายเหตุโครงการ สามารถเก็บคะแนนได้ตามจำนวนวันที่ปฏิบัติจริง)</t>
        </is>
      </c>
      <c r="B87" s="108" t="inlineStr">
        <is>
          <t>ครั้ง</t>
        </is>
      </c>
      <c r="C87" s="108" t="inlineStr">
        <is>
          <t>เหมา</t>
        </is>
      </c>
      <c r="D87" s="108" t="n">
        <v>60.06</v>
      </c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  <c r="R87" s="93" t="n"/>
      <c r="S87" s="93" t="n"/>
      <c r="T87" s="93" t="n"/>
      <c r="U87" s="93" t="n"/>
      <c r="V87" s="93" t="n"/>
      <c r="W87" s="93" t="n"/>
      <c r="X87" s="93" t="n"/>
      <c r="Y87" s="93" t="n"/>
      <c r="Z87" s="93" t="n"/>
      <c r="AA87" s="93" t="n"/>
      <c r="AB87" s="93" t="n"/>
      <c r="AC87" s="93" t="n"/>
      <c r="AD87" s="93" t="n"/>
      <c r="AE87" s="93" t="n"/>
      <c r="AF87" s="93" t="n"/>
      <c r="AG87" s="93" t="n"/>
      <c r="AH87" s="93" t="n"/>
      <c r="AI87" s="93" t="n"/>
      <c r="AJ87" s="50">
        <f>SUM(E87:AI87)</f>
        <v/>
      </c>
      <c r="AK87" s="50">
        <f>AJ87*D87</f>
        <v/>
      </c>
    </row>
    <row r="88" ht="75" customHeight="1">
      <c r="A88" s="744" t="inlineStr">
        <is>
          <t>△ - Member (กรุณาระบุหมายเหตุโครงการ สามารถเก็บคะแนนได้ตามจำนวนวันที่ปฏิบัติจริง)</t>
        </is>
      </c>
      <c r="B88" s="18" t="inlineStr">
        <is>
          <t>ครั้ง</t>
        </is>
      </c>
      <c r="C88" s="18" t="inlineStr">
        <is>
          <t>เหมา</t>
        </is>
      </c>
      <c r="D88" s="18" t="n">
        <v>30.03</v>
      </c>
      <c r="E88" s="91" t="n"/>
      <c r="F88" s="91" t="n"/>
      <c r="G88" s="91" t="n"/>
      <c r="H88" s="91" t="n"/>
      <c r="I88" s="91" t="n"/>
      <c r="J88" s="91" t="n"/>
      <c r="K88" s="91" t="n"/>
      <c r="L88" s="91" t="n"/>
      <c r="M88" s="91" t="n"/>
      <c r="N88" s="91" t="n"/>
      <c r="O88" s="91" t="n"/>
      <c r="P88" s="91" t="n"/>
      <c r="Q88" s="91" t="n"/>
      <c r="R88" s="91" t="n"/>
      <c r="S88" s="91" t="n"/>
      <c r="T88" s="91" t="n"/>
      <c r="U88" s="91" t="n"/>
      <c r="V88" s="91" t="n"/>
      <c r="W88" s="91" t="n"/>
      <c r="X88" s="91" t="n"/>
      <c r="Y88" s="91" t="n"/>
      <c r="Z88" s="91" t="n"/>
      <c r="AA88" s="91" t="n"/>
      <c r="AB88" s="91" t="n"/>
      <c r="AC88" s="91" t="n"/>
      <c r="AD88" s="91" t="n"/>
      <c r="AE88" s="91" t="n"/>
      <c r="AF88" s="91" t="n"/>
      <c r="AG88" s="91" t="n"/>
      <c r="AH88" s="91" t="n"/>
      <c r="AI88" s="91" t="n"/>
      <c r="AJ88" s="33">
        <f>SUM(E88:AI88)</f>
        <v/>
      </c>
      <c r="AK88" s="33">
        <f>AJ88*D88</f>
        <v/>
      </c>
    </row>
    <row r="89" ht="25" customHeight="1">
      <c r="A89" s="745" t="inlineStr">
        <is>
          <t>◆ 3. สรุปผลการดำเนินโครงการ</t>
        </is>
      </c>
      <c r="B89" s="102" t="n"/>
      <c r="C89" s="103" t="n"/>
      <c r="D89" s="103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691" t="n"/>
      <c r="AK89" s="67" t="n"/>
    </row>
    <row r="90" ht="75" customHeight="1">
      <c r="A90" s="746" t="inlineStr">
        <is>
          <t>◆ - สรุปผลการดำเนินโครงการ (กรุณาระบุหมายเหตุโครงการ ให้คะแนน 1 โครงการ : 1 ครั้ง)</t>
        </is>
      </c>
      <c r="B90" s="104" t="inlineStr">
        <is>
          <t>ครั้ง</t>
        </is>
      </c>
      <c r="C90" s="104" t="inlineStr">
        <is>
          <t>เหมา</t>
        </is>
      </c>
      <c r="D90" s="104" t="n">
        <v>60.06</v>
      </c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  <c r="R90" s="93" t="n"/>
      <c r="S90" s="93" t="n"/>
      <c r="T90" s="93" t="n"/>
      <c r="U90" s="93" t="n"/>
      <c r="V90" s="93" t="n"/>
      <c r="W90" s="93" t="n"/>
      <c r="X90" s="93" t="n"/>
      <c r="Y90" s="93" t="n"/>
      <c r="Z90" s="93" t="n"/>
      <c r="AA90" s="93" t="n"/>
      <c r="AB90" s="93" t="n"/>
      <c r="AC90" s="93" t="n"/>
      <c r="AD90" s="93" t="n"/>
      <c r="AE90" s="93" t="n"/>
      <c r="AF90" s="93" t="n"/>
      <c r="AG90" s="93" t="n"/>
      <c r="AH90" s="93" t="n"/>
      <c r="AI90" s="93" t="n"/>
      <c r="AJ90" s="105">
        <f>SUM(E90:AI90)</f>
        <v/>
      </c>
      <c r="AK90" s="105">
        <f>AJ90*D90</f>
        <v/>
      </c>
    </row>
    <row r="91" ht="25" customHeight="1">
      <c r="A91" s="77" t="inlineStr">
        <is>
          <t xml:space="preserve">ตรวจสอบ/ช่วยลงคะแนน P4P </t>
        </is>
      </c>
      <c r="B91" s="109" t="n"/>
      <c r="C91" s="110" t="n"/>
      <c r="D91" s="110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691" t="n"/>
      <c r="AK91" s="67" t="n"/>
    </row>
    <row r="92" ht="25" customHeight="1">
      <c r="A92" s="111" t="inlineStr">
        <is>
          <t>1. ตราวจสอบจำนวน 1 - 10 ราย</t>
        </is>
      </c>
      <c r="B92" s="92" t="inlineStr">
        <is>
          <t>เดือน</t>
        </is>
      </c>
      <c r="C92" s="71" t="inlineStr">
        <is>
          <t>เหมา</t>
        </is>
      </c>
      <c r="D92" s="48" t="n">
        <v>100</v>
      </c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  <c r="R92" s="93" t="n"/>
      <c r="S92" s="93" t="n"/>
      <c r="T92" s="93" t="n"/>
      <c r="U92" s="93" t="n"/>
      <c r="V92" s="93" t="n"/>
      <c r="W92" s="93" t="n"/>
      <c r="X92" s="93" t="n"/>
      <c r="Y92" s="93" t="n"/>
      <c r="Z92" s="93" t="n"/>
      <c r="AA92" s="93" t="n"/>
      <c r="AB92" s="93" t="n"/>
      <c r="AC92" s="93" t="n"/>
      <c r="AD92" s="93" t="n"/>
      <c r="AE92" s="93" t="n"/>
      <c r="AF92" s="93" t="n"/>
      <c r="AG92" s="93" t="n"/>
      <c r="AH92" s="93" t="n"/>
      <c r="AI92" s="93" t="n"/>
      <c r="AJ92" s="50">
        <f>SUM(E92:AI92)</f>
        <v/>
      </c>
      <c r="AK92" s="50">
        <f>AJ92*D92</f>
        <v/>
      </c>
    </row>
    <row r="93" ht="25" customHeight="1">
      <c r="A93" s="111" t="inlineStr">
        <is>
          <t>2. ตราวจสอบจำนวน 11 - 20 ราย</t>
        </is>
      </c>
      <c r="B93" s="86" t="inlineStr">
        <is>
          <t>เดือน</t>
        </is>
      </c>
      <c r="C93" s="73" t="inlineStr">
        <is>
          <t>เหมา</t>
        </is>
      </c>
      <c r="D93" s="28" t="n">
        <v>200</v>
      </c>
      <c r="E93" s="91" t="n"/>
      <c r="F93" s="91" t="n"/>
      <c r="G93" s="91" t="n"/>
      <c r="H93" s="91" t="n"/>
      <c r="I93" s="91" t="n"/>
      <c r="J93" s="91" t="n"/>
      <c r="K93" s="91" t="n"/>
      <c r="L93" s="91" t="n"/>
      <c r="M93" s="91" t="n"/>
      <c r="N93" s="91" t="n"/>
      <c r="O93" s="91" t="n"/>
      <c r="P93" s="91" t="n"/>
      <c r="Q93" s="91" t="n"/>
      <c r="R93" s="91" t="n"/>
      <c r="S93" s="91" t="n"/>
      <c r="T93" s="91" t="n"/>
      <c r="U93" s="91" t="n"/>
      <c r="V93" s="91" t="n"/>
      <c r="W93" s="91" t="n"/>
      <c r="X93" s="91" t="n"/>
      <c r="Y93" s="91" t="n"/>
      <c r="Z93" s="91" t="n"/>
      <c r="AA93" s="91" t="n"/>
      <c r="AB93" s="91" t="n"/>
      <c r="AC93" s="91" t="n"/>
      <c r="AD93" s="91" t="n"/>
      <c r="AE93" s="91" t="n"/>
      <c r="AF93" s="91" t="n"/>
      <c r="AG93" s="91" t="n"/>
      <c r="AH93" s="91" t="n"/>
      <c r="AI93" s="91" t="n"/>
      <c r="AJ93" s="5">
        <f>SUM(E93:AI93)</f>
        <v/>
      </c>
      <c r="AK93" s="5">
        <f>AJ93*D93</f>
        <v/>
      </c>
    </row>
    <row r="94" ht="25" customHeight="1">
      <c r="A94" s="111" t="inlineStr">
        <is>
          <t>3. ตราวจสอบจำนวน 21 - 30 ราย</t>
        </is>
      </c>
      <c r="B94" s="86" t="inlineStr">
        <is>
          <t>เดือน</t>
        </is>
      </c>
      <c r="C94" s="73" t="inlineStr">
        <is>
          <t>เหมา</t>
        </is>
      </c>
      <c r="D94" s="28" t="n">
        <v>300</v>
      </c>
      <c r="E94" s="91" t="n"/>
      <c r="F94" s="91" t="n"/>
      <c r="G94" s="91" t="n"/>
      <c r="H94" s="91" t="n"/>
      <c r="I94" s="91" t="n"/>
      <c r="J94" s="91" t="n"/>
      <c r="K94" s="91" t="n"/>
      <c r="L94" s="91" t="n"/>
      <c r="M94" s="91" t="n"/>
      <c r="N94" s="91" t="n"/>
      <c r="O94" s="91" t="n"/>
      <c r="P94" s="91" t="n"/>
      <c r="Q94" s="91" t="n"/>
      <c r="R94" s="91" t="n"/>
      <c r="S94" s="91" t="n"/>
      <c r="T94" s="91" t="n"/>
      <c r="U94" s="91" t="n"/>
      <c r="V94" s="91" t="n"/>
      <c r="W94" s="91" t="n"/>
      <c r="X94" s="91" t="n"/>
      <c r="Y94" s="91" t="n"/>
      <c r="Z94" s="91" t="n"/>
      <c r="AA94" s="91" t="n"/>
      <c r="AB94" s="91" t="n"/>
      <c r="AC94" s="91" t="n"/>
      <c r="AD94" s="91" t="n"/>
      <c r="AE94" s="91" t="n"/>
      <c r="AF94" s="91" t="n"/>
      <c r="AG94" s="91" t="n"/>
      <c r="AH94" s="91" t="n"/>
      <c r="AI94" s="91" t="n"/>
      <c r="AJ94" s="5">
        <f>SUM(E94:AI94)</f>
        <v/>
      </c>
      <c r="AK94" s="5">
        <f>AJ94*D94</f>
        <v/>
      </c>
    </row>
    <row r="95" ht="25" customHeight="1">
      <c r="A95" s="111" t="inlineStr">
        <is>
          <t>4. ตราวจสอบจำนวน 31 - 40 ราย</t>
        </is>
      </c>
      <c r="B95" s="86" t="inlineStr">
        <is>
          <t>เดือน</t>
        </is>
      </c>
      <c r="C95" s="73" t="inlineStr">
        <is>
          <t>เหมา</t>
        </is>
      </c>
      <c r="D95" s="28" t="n">
        <v>400</v>
      </c>
      <c r="E95" s="91" t="n"/>
      <c r="F95" s="91" t="n"/>
      <c r="G95" s="91" t="n"/>
      <c r="H95" s="91" t="n"/>
      <c r="I95" s="91" t="n"/>
      <c r="J95" s="91" t="n"/>
      <c r="K95" s="91" t="n"/>
      <c r="L95" s="91" t="n"/>
      <c r="M95" s="91" t="n"/>
      <c r="N95" s="91" t="n"/>
      <c r="O95" s="91" t="n"/>
      <c r="P95" s="91" t="n"/>
      <c r="Q95" s="91" t="n"/>
      <c r="R95" s="91" t="n"/>
      <c r="S95" s="91" t="n"/>
      <c r="T95" s="91" t="n"/>
      <c r="U95" s="91" t="n"/>
      <c r="V95" s="91" t="n"/>
      <c r="W95" s="91" t="n"/>
      <c r="X95" s="91" t="n"/>
      <c r="Y95" s="91" t="n"/>
      <c r="Z95" s="91" t="n"/>
      <c r="AA95" s="91" t="n"/>
      <c r="AB95" s="91" t="n"/>
      <c r="AC95" s="91" t="n"/>
      <c r="AD95" s="91" t="n"/>
      <c r="AE95" s="91" t="n"/>
      <c r="AF95" s="91" t="n"/>
      <c r="AG95" s="91" t="n"/>
      <c r="AH95" s="91" t="n"/>
      <c r="AI95" s="91" t="n"/>
      <c r="AJ95" s="5">
        <f>SUM(E95:AI95)</f>
        <v/>
      </c>
      <c r="AK95" s="5">
        <f>AJ95*D95</f>
        <v/>
      </c>
    </row>
    <row r="96" ht="25" customHeight="1">
      <c r="A96" s="111" t="inlineStr">
        <is>
          <t>5. ตราวจสอบจำนวนมากกว่า 40 ราย</t>
        </is>
      </c>
      <c r="B96" s="86" t="inlineStr">
        <is>
          <t>เดือน</t>
        </is>
      </c>
      <c r="C96" s="73" t="inlineStr">
        <is>
          <t>เหมา</t>
        </is>
      </c>
      <c r="D96" s="28" t="n">
        <v>500</v>
      </c>
      <c r="E96" s="91" t="n"/>
      <c r="F96" s="91" t="n"/>
      <c r="G96" s="91" t="n"/>
      <c r="H96" s="91" t="n"/>
      <c r="I96" s="91" t="n"/>
      <c r="J96" s="91" t="n"/>
      <c r="K96" s="91" t="n"/>
      <c r="L96" s="91" t="n"/>
      <c r="M96" s="91" t="n"/>
      <c r="N96" s="91" t="n"/>
      <c r="O96" s="91" t="n"/>
      <c r="P96" s="91" t="n"/>
      <c r="Q96" s="91" t="n"/>
      <c r="R96" s="91" t="n"/>
      <c r="S96" s="91" t="n"/>
      <c r="T96" s="91" t="n"/>
      <c r="U96" s="91" t="n"/>
      <c r="V96" s="91" t="n"/>
      <c r="W96" s="91" t="n"/>
      <c r="X96" s="91" t="n"/>
      <c r="Y96" s="91" t="n"/>
      <c r="Z96" s="91" t="n"/>
      <c r="AA96" s="91" t="n"/>
      <c r="AB96" s="91" t="n"/>
      <c r="AC96" s="91" t="n"/>
      <c r="AD96" s="91" t="n"/>
      <c r="AE96" s="91" t="n"/>
      <c r="AF96" s="91" t="n"/>
      <c r="AG96" s="91" t="n"/>
      <c r="AH96" s="91" t="n"/>
      <c r="AI96" s="91" t="n"/>
      <c r="AJ96" s="5">
        <f>SUM(E96:AI96)</f>
        <v/>
      </c>
      <c r="AK96" s="5">
        <f>AJ96*D96</f>
        <v/>
      </c>
    </row>
    <row r="97" ht="25" customHeight="1">
      <c r="A97" s="16" t="inlineStr">
        <is>
          <t>6. ช่วยลงคะแนน P4P พนักงาน/ NA</t>
        </is>
      </c>
      <c r="B97" s="15" t="inlineStr">
        <is>
          <t>ราย</t>
        </is>
      </c>
      <c r="C97" s="96" t="inlineStr">
        <is>
          <t>เหมา</t>
        </is>
      </c>
      <c r="D97" s="15" t="n">
        <v>0.71</v>
      </c>
      <c r="E97" s="91" t="n"/>
      <c r="F97" s="91" t="n"/>
      <c r="G97" s="91" t="n"/>
      <c r="H97" s="91" t="n"/>
      <c r="I97" s="91" t="n"/>
      <c r="J97" s="91" t="n"/>
      <c r="K97" s="91" t="n"/>
      <c r="L97" s="91" t="n"/>
      <c r="M97" s="91" t="n"/>
      <c r="N97" s="91" t="n"/>
      <c r="O97" s="91" t="n"/>
      <c r="P97" s="91" t="n"/>
      <c r="Q97" s="91" t="n"/>
      <c r="R97" s="91" t="n"/>
      <c r="S97" s="91" t="n"/>
      <c r="T97" s="91" t="n"/>
      <c r="U97" s="91" t="n"/>
      <c r="V97" s="91" t="n"/>
      <c r="W97" s="91" t="n"/>
      <c r="X97" s="91" t="n"/>
      <c r="Y97" s="91" t="n"/>
      <c r="Z97" s="91" t="n"/>
      <c r="AA97" s="91" t="n"/>
      <c r="AB97" s="91" t="n"/>
      <c r="AC97" s="91" t="n"/>
      <c r="AD97" s="91" t="n"/>
      <c r="AE97" s="91" t="n"/>
      <c r="AF97" s="91" t="n"/>
      <c r="AG97" s="91" t="n"/>
      <c r="AH97" s="91" t="n"/>
      <c r="AI97" s="91" t="n"/>
      <c r="AJ97" s="33">
        <f>SUM(E97:AI97)</f>
        <v/>
      </c>
      <c r="AK97" s="33">
        <f>AJ97*D97</f>
        <v/>
      </c>
    </row>
    <row r="98" ht="25" customHeight="1">
      <c r="A98" s="112" t="inlineStr">
        <is>
          <t>คณะกรรมการตรวจสอบ P4P</t>
        </is>
      </c>
      <c r="B98" s="113" t="n"/>
      <c r="C98" s="114" t="n"/>
      <c r="D98" s="115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691" t="n"/>
      <c r="AK98" s="67" t="n"/>
    </row>
    <row r="99" ht="25" customHeight="1">
      <c r="A99" s="111" t="inlineStr">
        <is>
          <t>1. ตรวจสอบจำนวน 1 - 10 ราย</t>
        </is>
      </c>
      <c r="B99" s="92" t="inlineStr">
        <is>
          <t>เดือน</t>
        </is>
      </c>
      <c r="C99" s="71" t="inlineStr">
        <is>
          <t>เหมา</t>
        </is>
      </c>
      <c r="D99" s="48" t="n">
        <v>200</v>
      </c>
      <c r="E99" s="93" t="n"/>
      <c r="F99" s="93" t="n"/>
      <c r="G99" s="93" t="n"/>
      <c r="H99" s="93" t="n"/>
      <c r="I99" s="93" t="n"/>
      <c r="J99" s="93" t="n"/>
      <c r="K99" s="93" t="n"/>
      <c r="L99" s="93" t="n"/>
      <c r="M99" s="93" t="n"/>
      <c r="N99" s="93" t="n"/>
      <c r="O99" s="93" t="n"/>
      <c r="P99" s="93" t="n"/>
      <c r="Q99" s="93" t="n"/>
      <c r="R99" s="93" t="n"/>
      <c r="S99" s="93" t="n"/>
      <c r="T99" s="93" t="n"/>
      <c r="U99" s="93" t="n"/>
      <c r="V99" s="93" t="n"/>
      <c r="W99" s="93" t="n"/>
      <c r="X99" s="93" t="n"/>
      <c r="Y99" s="93" t="n"/>
      <c r="Z99" s="93" t="n"/>
      <c r="AA99" s="93" t="n"/>
      <c r="AB99" s="93" t="n"/>
      <c r="AC99" s="93" t="n"/>
      <c r="AD99" s="93" t="n"/>
      <c r="AE99" s="93" t="n"/>
      <c r="AF99" s="93" t="n"/>
      <c r="AG99" s="93" t="n"/>
      <c r="AH99" s="93" t="n"/>
      <c r="AI99" s="93" t="n"/>
      <c r="AJ99" s="50">
        <f>SUM(E99:AI99)</f>
        <v/>
      </c>
      <c r="AK99" s="50">
        <f>AJ99*D99</f>
        <v/>
      </c>
    </row>
    <row r="100" ht="25" customHeight="1">
      <c r="A100" s="111" t="inlineStr">
        <is>
          <t>2. ตรวจสอบจำนวน 11 - 20 ราย</t>
        </is>
      </c>
      <c r="B100" s="86" t="inlineStr">
        <is>
          <t>เดือน</t>
        </is>
      </c>
      <c r="C100" s="73" t="inlineStr">
        <is>
          <t>เหมา</t>
        </is>
      </c>
      <c r="D100" s="28" t="n">
        <v>300</v>
      </c>
      <c r="E100" s="91" t="n"/>
      <c r="F100" s="91" t="n"/>
      <c r="G100" s="91" t="n"/>
      <c r="H100" s="91" t="n"/>
      <c r="I100" s="91" t="n"/>
      <c r="J100" s="91" t="n"/>
      <c r="K100" s="91" t="n"/>
      <c r="L100" s="91" t="n"/>
      <c r="M100" s="91" t="n"/>
      <c r="N100" s="91" t="n"/>
      <c r="O100" s="91" t="n"/>
      <c r="P100" s="91" t="n"/>
      <c r="Q100" s="91" t="n"/>
      <c r="R100" s="91" t="n"/>
      <c r="S100" s="91" t="n"/>
      <c r="T100" s="91" t="n"/>
      <c r="U100" s="91" t="n"/>
      <c r="V100" s="91" t="n"/>
      <c r="W100" s="91" t="n"/>
      <c r="X100" s="91" t="n"/>
      <c r="Y100" s="91" t="n"/>
      <c r="Z100" s="91" t="n"/>
      <c r="AA100" s="91" t="n"/>
      <c r="AB100" s="91" t="n"/>
      <c r="AC100" s="91" t="n"/>
      <c r="AD100" s="91" t="n"/>
      <c r="AE100" s="91" t="n"/>
      <c r="AF100" s="91" t="n"/>
      <c r="AG100" s="91" t="n"/>
      <c r="AH100" s="91" t="n"/>
      <c r="AI100" s="91" t="n"/>
      <c r="AJ100" s="5">
        <f>SUM(E100:AI100)</f>
        <v/>
      </c>
      <c r="AK100" s="5">
        <f>AJ100*D100</f>
        <v/>
      </c>
    </row>
    <row r="101" ht="25" customHeight="1">
      <c r="A101" s="111" t="inlineStr">
        <is>
          <t>3. ตรวจสอบจำนวน 21 - 30 ราย</t>
        </is>
      </c>
      <c r="B101" s="86" t="inlineStr">
        <is>
          <t>เดือน</t>
        </is>
      </c>
      <c r="C101" s="73" t="inlineStr">
        <is>
          <t>เหมา</t>
        </is>
      </c>
      <c r="D101" s="28" t="n">
        <v>400</v>
      </c>
      <c r="E101" s="91" t="n"/>
      <c r="F101" s="91" t="n"/>
      <c r="G101" s="91" t="n"/>
      <c r="H101" s="91" t="n"/>
      <c r="I101" s="91" t="n"/>
      <c r="J101" s="91" t="n"/>
      <c r="K101" s="91" t="n"/>
      <c r="L101" s="91" t="n"/>
      <c r="M101" s="91" t="n"/>
      <c r="N101" s="91" t="n"/>
      <c r="O101" s="91" t="n"/>
      <c r="P101" s="91" t="n"/>
      <c r="Q101" s="91" t="n"/>
      <c r="R101" s="91" t="n"/>
      <c r="S101" s="91" t="n"/>
      <c r="T101" s="91" t="n"/>
      <c r="U101" s="91" t="n"/>
      <c r="V101" s="91" t="n"/>
      <c r="W101" s="91" t="n"/>
      <c r="X101" s="91" t="n"/>
      <c r="Y101" s="91" t="n"/>
      <c r="Z101" s="91" t="n"/>
      <c r="AA101" s="91" t="n"/>
      <c r="AB101" s="91" t="n"/>
      <c r="AC101" s="91" t="n"/>
      <c r="AD101" s="91" t="n"/>
      <c r="AE101" s="91" t="n"/>
      <c r="AF101" s="91" t="n"/>
      <c r="AG101" s="91" t="n"/>
      <c r="AH101" s="91" t="n"/>
      <c r="AI101" s="91" t="n"/>
      <c r="AJ101" s="5">
        <f>SUM(E101:AI101)</f>
        <v/>
      </c>
      <c r="AK101" s="5">
        <f>AJ101*D101</f>
        <v/>
      </c>
    </row>
    <row r="102" ht="25" customHeight="1">
      <c r="A102" s="111" t="inlineStr">
        <is>
          <t>4. ตรวจสอบจำนวน 31 - 40 ราย</t>
        </is>
      </c>
      <c r="B102" s="86" t="inlineStr">
        <is>
          <t>เดือน</t>
        </is>
      </c>
      <c r="C102" s="73" t="inlineStr">
        <is>
          <t>เหมา</t>
        </is>
      </c>
      <c r="D102" s="28" t="n">
        <v>500</v>
      </c>
      <c r="E102" s="91" t="n"/>
      <c r="F102" s="91" t="n"/>
      <c r="G102" s="91" t="n"/>
      <c r="H102" s="91" t="n"/>
      <c r="I102" s="91" t="n"/>
      <c r="J102" s="91" t="n"/>
      <c r="K102" s="91" t="n"/>
      <c r="L102" s="91" t="n"/>
      <c r="M102" s="91" t="n"/>
      <c r="N102" s="91" t="n"/>
      <c r="O102" s="91" t="n"/>
      <c r="P102" s="91" t="n"/>
      <c r="Q102" s="91" t="n"/>
      <c r="R102" s="91" t="n"/>
      <c r="S102" s="91" t="n"/>
      <c r="T102" s="91" t="n"/>
      <c r="U102" s="91" t="n"/>
      <c r="V102" s="91" t="n"/>
      <c r="W102" s="91" t="n"/>
      <c r="X102" s="91" t="n"/>
      <c r="Y102" s="91" t="n"/>
      <c r="Z102" s="91" t="n"/>
      <c r="AA102" s="91" t="n"/>
      <c r="AB102" s="91" t="n"/>
      <c r="AC102" s="91" t="n"/>
      <c r="AD102" s="91" t="n"/>
      <c r="AE102" s="91" t="n"/>
      <c r="AF102" s="91" t="n"/>
      <c r="AG102" s="91" t="n"/>
      <c r="AH102" s="91" t="n"/>
      <c r="AI102" s="91" t="n"/>
      <c r="AJ102" s="5">
        <f>SUM(E102:AI102)</f>
        <v/>
      </c>
      <c r="AK102" s="5">
        <f>AJ102*D102</f>
        <v/>
      </c>
    </row>
    <row r="103" ht="25" customHeight="1">
      <c r="A103" s="111" t="inlineStr">
        <is>
          <t>5. ตรวจสอบจำนวน 41 - 50 ราย</t>
        </is>
      </c>
      <c r="B103" s="86" t="inlineStr">
        <is>
          <t>เดือน</t>
        </is>
      </c>
      <c r="C103" s="73" t="inlineStr">
        <is>
          <t>เหมา</t>
        </is>
      </c>
      <c r="D103" s="28" t="n">
        <v>600</v>
      </c>
      <c r="E103" s="91" t="n"/>
      <c r="F103" s="91" t="n"/>
      <c r="G103" s="91" t="n"/>
      <c r="H103" s="91" t="n"/>
      <c r="I103" s="91" t="n"/>
      <c r="J103" s="91" t="n"/>
      <c r="K103" s="91" t="n"/>
      <c r="L103" s="91" t="n"/>
      <c r="M103" s="91" t="n"/>
      <c r="N103" s="91" t="n"/>
      <c r="O103" s="91" t="n"/>
      <c r="P103" s="91" t="n"/>
      <c r="Q103" s="91" t="n"/>
      <c r="R103" s="91" t="n"/>
      <c r="S103" s="91" t="n"/>
      <c r="T103" s="91" t="n"/>
      <c r="U103" s="91" t="n"/>
      <c r="V103" s="91" t="n"/>
      <c r="W103" s="91" t="n"/>
      <c r="X103" s="91" t="n"/>
      <c r="Y103" s="91" t="n"/>
      <c r="Z103" s="91" t="n"/>
      <c r="AA103" s="91" t="n"/>
      <c r="AB103" s="91" t="n"/>
      <c r="AC103" s="91" t="n"/>
      <c r="AD103" s="91" t="n"/>
      <c r="AE103" s="91" t="n"/>
      <c r="AF103" s="91" t="n"/>
      <c r="AG103" s="91" t="n"/>
      <c r="AH103" s="91" t="n"/>
      <c r="AI103" s="91" t="n"/>
      <c r="AJ103" s="5">
        <f>SUM(E103:AI103)</f>
        <v/>
      </c>
      <c r="AK103" s="5">
        <f>AJ103*D103</f>
        <v/>
      </c>
    </row>
    <row r="104" ht="25" customHeight="1">
      <c r="A104" s="111" t="inlineStr">
        <is>
          <t>6. ตรวจสอบจำนวนมากกว่า 50 ราย</t>
        </is>
      </c>
      <c r="B104" s="60" t="inlineStr">
        <is>
          <t>เดือน</t>
        </is>
      </c>
      <c r="C104" s="61" t="inlineStr">
        <is>
          <t>เหมา</t>
        </is>
      </c>
      <c r="D104" s="116" t="n">
        <v>800</v>
      </c>
      <c r="E104" s="91" t="n"/>
      <c r="F104" s="91" t="n"/>
      <c r="G104" s="91" t="n"/>
      <c r="H104" s="91" t="n"/>
      <c r="I104" s="91" t="n"/>
      <c r="J104" s="91" t="n"/>
      <c r="K104" s="91" t="n"/>
      <c r="L104" s="91" t="n"/>
      <c r="M104" s="91" t="n"/>
      <c r="N104" s="91" t="n"/>
      <c r="O104" s="91" t="n"/>
      <c r="P104" s="91" t="n"/>
      <c r="Q104" s="91" t="n"/>
      <c r="R104" s="91" t="n"/>
      <c r="S104" s="91" t="n"/>
      <c r="T104" s="91" t="n"/>
      <c r="U104" s="91" t="n"/>
      <c r="V104" s="91" t="n"/>
      <c r="W104" s="91" t="n"/>
      <c r="X104" s="91" t="n"/>
      <c r="Y104" s="91" t="n"/>
      <c r="Z104" s="91" t="n"/>
      <c r="AA104" s="91" t="n"/>
      <c r="AB104" s="91" t="n"/>
      <c r="AC104" s="91" t="n"/>
      <c r="AD104" s="91" t="n"/>
      <c r="AE104" s="91" t="n"/>
      <c r="AF104" s="91" t="n"/>
      <c r="AG104" s="91" t="n"/>
      <c r="AH104" s="91" t="n"/>
      <c r="AI104" s="91" t="n"/>
      <c r="AJ104" s="33">
        <f>SUM(E104:AI104)</f>
        <v/>
      </c>
      <c r="AK104" s="33">
        <f>AJ104*D104</f>
        <v/>
      </c>
    </row>
    <row r="105" ht="25" customHeight="1">
      <c r="A105" s="112" t="inlineStr">
        <is>
          <t>การฝึกระเบียบแถว</t>
        </is>
      </c>
      <c r="B105" s="113" t="n"/>
      <c r="C105" s="114" t="n"/>
      <c r="D105" s="117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691" t="n"/>
      <c r="AK105" s="67" t="n"/>
    </row>
    <row r="106" ht="25" customHeight="1">
      <c r="A106" s="16" t="inlineStr">
        <is>
          <t>1. แถวประจำสัปดาห์/เดือน</t>
        </is>
      </c>
      <c r="B106" s="47" t="inlineStr">
        <is>
          <t>ครั้ง</t>
        </is>
      </c>
      <c r="C106" s="118" t="inlineStr">
        <is>
          <t>เหมา</t>
        </is>
      </c>
      <c r="D106" s="54" t="n">
        <v>4.29</v>
      </c>
      <c r="E106" s="93" t="n"/>
      <c r="F106" s="93" t="n"/>
      <c r="G106" s="93" t="n"/>
      <c r="H106" s="93" t="n"/>
      <c r="I106" s="93" t="n"/>
      <c r="J106" s="93" t="n"/>
      <c r="K106" s="93" t="n"/>
      <c r="L106" s="93" t="n"/>
      <c r="M106" s="93" t="n"/>
      <c r="N106" s="93" t="n"/>
      <c r="O106" s="93" t="n"/>
      <c r="P106" s="93" t="n"/>
      <c r="Q106" s="93" t="n"/>
      <c r="R106" s="93" t="n"/>
      <c r="S106" s="93" t="n"/>
      <c r="T106" s="93" t="n"/>
      <c r="U106" s="93" t="n"/>
      <c r="V106" s="93" t="n"/>
      <c r="W106" s="93" t="n"/>
      <c r="X106" s="93" t="n"/>
      <c r="Y106" s="93" t="n"/>
      <c r="Z106" s="93" t="n"/>
      <c r="AA106" s="93" t="n"/>
      <c r="AB106" s="93" t="n"/>
      <c r="AC106" s="93" t="n"/>
      <c r="AD106" s="93" t="n"/>
      <c r="AE106" s="93" t="n"/>
      <c r="AF106" s="93" t="n"/>
      <c r="AG106" s="93" t="n"/>
      <c r="AH106" s="93" t="n"/>
      <c r="AI106" s="93" t="n"/>
      <c r="AJ106" s="50">
        <f>SUM(E106:AI106)</f>
        <v/>
      </c>
      <c r="AK106" s="50">
        <f>AJ106*D106</f>
        <v/>
      </c>
    </row>
    <row r="107" ht="25" customHeight="1">
      <c r="A107" s="16" t="inlineStr">
        <is>
          <t>2. ส่งแถวประจำสัปดาห์/เดือน</t>
        </is>
      </c>
      <c r="B107" s="30" t="inlineStr">
        <is>
          <t>ครั้ง</t>
        </is>
      </c>
      <c r="C107" s="119" t="inlineStr">
        <is>
          <t>เหมา</t>
        </is>
      </c>
      <c r="D107" s="15" t="n">
        <v>10</v>
      </c>
      <c r="E107" s="91" t="n"/>
      <c r="F107" s="91" t="n"/>
      <c r="G107" s="91" t="n"/>
      <c r="H107" s="91" t="n"/>
      <c r="I107" s="91" t="n"/>
      <c r="J107" s="91" t="n"/>
      <c r="K107" s="91" t="n"/>
      <c r="L107" s="91" t="n"/>
      <c r="M107" s="91" t="n"/>
      <c r="N107" s="91" t="n"/>
      <c r="O107" s="91" t="n"/>
      <c r="P107" s="91" t="n"/>
      <c r="Q107" s="91" t="n"/>
      <c r="R107" s="91" t="n"/>
      <c r="S107" s="91" t="n"/>
      <c r="T107" s="91" t="n"/>
      <c r="U107" s="91" t="n"/>
      <c r="V107" s="91" t="n"/>
      <c r="W107" s="91" t="n"/>
      <c r="X107" s="91" t="n"/>
      <c r="Y107" s="91" t="n"/>
      <c r="Z107" s="91" t="n"/>
      <c r="AA107" s="91" t="n"/>
      <c r="AB107" s="91" t="n"/>
      <c r="AC107" s="91" t="n"/>
      <c r="AD107" s="91" t="n"/>
      <c r="AE107" s="91" t="n"/>
      <c r="AF107" s="91" t="n"/>
      <c r="AG107" s="91" t="n"/>
      <c r="AH107" s="91" t="n"/>
      <c r="AI107" s="91" t="n"/>
      <c r="AJ107" s="33">
        <f>SUM(E107:AI107)</f>
        <v/>
      </c>
      <c r="AK107" s="33">
        <f>AJ107*D107</f>
        <v/>
      </c>
    </row>
    <row r="108" ht="25" customHeight="1">
      <c r="A108" s="34" t="inlineStr">
        <is>
          <t>การบริหารจัดการในหน่วยงาน</t>
        </is>
      </c>
      <c r="B108" s="41" t="n"/>
      <c r="C108" s="43" t="n"/>
      <c r="D108" s="53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691" t="n"/>
      <c r="AK108" s="67" t="n"/>
    </row>
    <row r="109" ht="25" customHeight="1">
      <c r="A109" s="69" t="inlineStr">
        <is>
          <t>1. จัดทำบัญชีความเสี่ยง หรือ Service Profile</t>
        </is>
      </c>
      <c r="B109" s="120" t="inlineStr">
        <is>
          <t>ครั้ง</t>
        </is>
      </c>
      <c r="C109" s="120" t="n">
        <v>60</v>
      </c>
      <c r="D109" s="120">
        <f>C109*0.143</f>
        <v/>
      </c>
      <c r="E109" s="93" t="n"/>
      <c r="F109" s="93" t="n"/>
      <c r="G109" s="93" t="n"/>
      <c r="H109" s="93" t="n"/>
      <c r="I109" s="93" t="n"/>
      <c r="J109" s="93" t="n"/>
      <c r="K109" s="93" t="n"/>
      <c r="L109" s="93" t="n"/>
      <c r="M109" s="93" t="n"/>
      <c r="N109" s="93" t="n"/>
      <c r="O109" s="93" t="n"/>
      <c r="P109" s="93" t="n"/>
      <c r="Q109" s="93" t="n"/>
      <c r="R109" s="93" t="n"/>
      <c r="S109" s="93" t="n"/>
      <c r="T109" s="93" t="n"/>
      <c r="U109" s="93" t="n"/>
      <c r="V109" s="93" t="n"/>
      <c r="W109" s="93" t="n"/>
      <c r="X109" s="93" t="n"/>
      <c r="Y109" s="93" t="n"/>
      <c r="Z109" s="93" t="n"/>
      <c r="AA109" s="93" t="n"/>
      <c r="AB109" s="93" t="n"/>
      <c r="AC109" s="93" t="n"/>
      <c r="AD109" s="93" t="n"/>
      <c r="AE109" s="93" t="n"/>
      <c r="AF109" s="93" t="n"/>
      <c r="AG109" s="93" t="n"/>
      <c r="AH109" s="93" t="n"/>
      <c r="AI109" s="93" t="n"/>
      <c r="AJ109" s="50">
        <f>SUM(E109:AI109)</f>
        <v/>
      </c>
      <c r="AK109" s="50">
        <f>AJ109*D109</f>
        <v/>
      </c>
    </row>
    <row r="110" ht="25" customHeight="1">
      <c r="A110" s="74" t="inlineStr">
        <is>
          <t>2.  มอบหมายงานประจำวัน</t>
        </is>
      </c>
      <c r="B110" s="72" t="inlineStr">
        <is>
          <t>วัน</t>
        </is>
      </c>
      <c r="C110" s="14" t="inlineStr">
        <is>
          <t>เหมา</t>
        </is>
      </c>
      <c r="D110" s="86" t="n">
        <v>30</v>
      </c>
      <c r="E110" s="91" t="n"/>
      <c r="F110" s="91" t="n"/>
      <c r="G110" s="91" t="n"/>
      <c r="H110" s="91" t="n"/>
      <c r="I110" s="91" t="n"/>
      <c r="J110" s="91" t="n"/>
      <c r="K110" s="91" t="n"/>
      <c r="L110" s="91" t="n"/>
      <c r="M110" s="91" t="n"/>
      <c r="N110" s="91" t="n"/>
      <c r="O110" s="91" t="n"/>
      <c r="P110" s="91" t="n"/>
      <c r="Q110" s="91" t="n"/>
      <c r="R110" s="91" t="n"/>
      <c r="S110" s="91" t="n"/>
      <c r="T110" s="91" t="n"/>
      <c r="U110" s="91" t="n"/>
      <c r="V110" s="91" t="n"/>
      <c r="W110" s="91" t="n"/>
      <c r="X110" s="91" t="n"/>
      <c r="Y110" s="91" t="n"/>
      <c r="Z110" s="91" t="n"/>
      <c r="AA110" s="91" t="n"/>
      <c r="AB110" s="91" t="n"/>
      <c r="AC110" s="91" t="n"/>
      <c r="AD110" s="91" t="n"/>
      <c r="AE110" s="91" t="n"/>
      <c r="AF110" s="91" t="n"/>
      <c r="AG110" s="91" t="n"/>
      <c r="AH110" s="91" t="n"/>
      <c r="AI110" s="91" t="n"/>
      <c r="AJ110" s="5">
        <f>SUM(E110:AI110)</f>
        <v/>
      </c>
      <c r="AK110" s="5">
        <f>AJ110*D110</f>
        <v/>
      </c>
    </row>
    <row r="111" ht="25" customHeight="1">
      <c r="A111" s="69" t="inlineStr">
        <is>
          <t>3. ตรวจสอบใบลา</t>
        </is>
      </c>
      <c r="B111" s="14" t="inlineStr">
        <is>
          <t>ราย</t>
        </is>
      </c>
      <c r="C111" s="14" t="inlineStr">
        <is>
          <t>เหมา</t>
        </is>
      </c>
      <c r="D111" s="58" t="n">
        <v>1</v>
      </c>
      <c r="E111" s="91" t="n"/>
      <c r="F111" s="91" t="n"/>
      <c r="G111" s="91" t="n"/>
      <c r="H111" s="91" t="n"/>
      <c r="I111" s="91" t="n"/>
      <c r="J111" s="91" t="n"/>
      <c r="K111" s="91" t="n"/>
      <c r="L111" s="91" t="n"/>
      <c r="M111" s="91" t="n"/>
      <c r="N111" s="91" t="n"/>
      <c r="O111" s="91" t="n"/>
      <c r="P111" s="91" t="n"/>
      <c r="Q111" s="91" t="n"/>
      <c r="R111" s="91" t="n"/>
      <c r="S111" s="91" t="n"/>
      <c r="T111" s="91" t="n"/>
      <c r="U111" s="91" t="n"/>
      <c r="V111" s="91" t="n"/>
      <c r="W111" s="91" t="n"/>
      <c r="X111" s="91" t="n"/>
      <c r="Y111" s="91" t="n"/>
      <c r="Z111" s="91" t="n"/>
      <c r="AA111" s="91" t="n"/>
      <c r="AB111" s="91" t="n"/>
      <c r="AC111" s="91" t="n"/>
      <c r="AD111" s="91" t="n"/>
      <c r="AE111" s="91" t="n"/>
      <c r="AF111" s="91" t="n"/>
      <c r="AG111" s="91" t="n"/>
      <c r="AH111" s="91" t="n"/>
      <c r="AI111" s="91" t="n"/>
      <c r="AJ111" s="5">
        <f>SUM(E111:AI111)</f>
        <v/>
      </c>
      <c r="AK111" s="5">
        <f>AJ111*D111</f>
        <v/>
      </c>
    </row>
    <row r="112" ht="25" customHeight="1">
      <c r="A112" s="74" t="inlineStr">
        <is>
          <t>4. สร้าง/ปรับแบบฟอร์ม</t>
        </is>
      </c>
      <c r="B112" s="121" t="inlineStr">
        <is>
          <t>แบบฟอร์ม</t>
        </is>
      </c>
      <c r="C112" s="72" t="inlineStr">
        <is>
          <t>เหมา</t>
        </is>
      </c>
      <c r="D112" s="122" t="n">
        <v>30</v>
      </c>
      <c r="E112" s="91" t="n"/>
      <c r="F112" s="91" t="n"/>
      <c r="G112" s="91" t="n"/>
      <c r="H112" s="91" t="n"/>
      <c r="I112" s="91" t="n"/>
      <c r="J112" s="91" t="n"/>
      <c r="K112" s="91" t="n"/>
      <c r="L112" s="91" t="n"/>
      <c r="M112" s="91" t="n"/>
      <c r="N112" s="91" t="n"/>
      <c r="O112" s="91" t="n"/>
      <c r="P112" s="91" t="n"/>
      <c r="Q112" s="91" t="n"/>
      <c r="R112" s="91" t="n"/>
      <c r="S112" s="91" t="n"/>
      <c r="T112" s="91" t="n"/>
      <c r="U112" s="91" t="n"/>
      <c r="V112" s="91" t="n"/>
      <c r="W112" s="91" t="n"/>
      <c r="X112" s="91" t="n"/>
      <c r="Y112" s="91" t="n"/>
      <c r="Z112" s="91" t="n"/>
      <c r="AA112" s="91" t="n"/>
      <c r="AB112" s="91" t="n"/>
      <c r="AC112" s="91" t="n"/>
      <c r="AD112" s="91" t="n"/>
      <c r="AE112" s="91" t="n"/>
      <c r="AF112" s="91" t="n"/>
      <c r="AG112" s="91" t="n"/>
      <c r="AH112" s="91" t="n"/>
      <c r="AI112" s="91" t="n"/>
      <c r="AJ112" s="5">
        <f>SUM(E112:AI112)</f>
        <v/>
      </c>
      <c r="AK112" s="5">
        <f>AJ112*D112</f>
        <v/>
      </c>
    </row>
    <row r="113" ht="25" customHeight="1">
      <c r="A113" s="69" t="inlineStr">
        <is>
          <t>5. ร่วมทีมตรวจเยี่ยม/รับการตรวจ ( นิเทศ HA/QA/Risk/5ส ฯลฯ)</t>
        </is>
      </c>
      <c r="B113" s="14" t="inlineStr">
        <is>
          <t>ครั้ง</t>
        </is>
      </c>
      <c r="C113" s="14" t="inlineStr">
        <is>
          <t>เหมา</t>
        </is>
      </c>
      <c r="D113" s="14" t="n">
        <v>8.58</v>
      </c>
      <c r="E113" s="91" t="n"/>
      <c r="F113" s="91" t="n"/>
      <c r="G113" s="91" t="n"/>
      <c r="H113" s="91" t="n"/>
      <c r="I113" s="91" t="n"/>
      <c r="J113" s="91" t="n"/>
      <c r="K113" s="91" t="n"/>
      <c r="L113" s="91" t="n"/>
      <c r="M113" s="91" t="n"/>
      <c r="N113" s="91" t="n"/>
      <c r="O113" s="91" t="n"/>
      <c r="P113" s="91" t="n"/>
      <c r="Q113" s="91" t="n"/>
      <c r="R113" s="91" t="n"/>
      <c r="S113" s="91" t="n"/>
      <c r="T113" s="91" t="n"/>
      <c r="U113" s="91" t="n"/>
      <c r="V113" s="91" t="n"/>
      <c r="W113" s="91" t="n"/>
      <c r="X113" s="91" t="n"/>
      <c r="Y113" s="91" t="n"/>
      <c r="Z113" s="91" t="n"/>
      <c r="AA113" s="91" t="n"/>
      <c r="AB113" s="91" t="n"/>
      <c r="AC113" s="91" t="n"/>
      <c r="AD113" s="91" t="n"/>
      <c r="AE113" s="91" t="n"/>
      <c r="AF113" s="91" t="n"/>
      <c r="AG113" s="91" t="n"/>
      <c r="AH113" s="91" t="n"/>
      <c r="AI113" s="91" t="n"/>
      <c r="AJ113" s="5">
        <f>SUM(E113:AI113)</f>
        <v/>
      </c>
      <c r="AK113" s="5">
        <f>AJ113*D113</f>
        <v/>
      </c>
    </row>
    <row r="114" ht="25" customHeight="1">
      <c r="A114" s="74" t="inlineStr">
        <is>
          <t>6. เขียนใบขออนุมัติ/ส่งซ่อม</t>
        </is>
      </c>
      <c r="B114" s="72" t="inlineStr">
        <is>
          <t>ชุด</t>
        </is>
      </c>
      <c r="C114" s="123" t="inlineStr">
        <is>
          <t>เหมา</t>
        </is>
      </c>
      <c r="D114" s="86" t="n">
        <v>1.43</v>
      </c>
      <c r="E114" s="91" t="n"/>
      <c r="F114" s="91" t="n"/>
      <c r="G114" s="91" t="n"/>
      <c r="H114" s="91" t="n"/>
      <c r="I114" s="91" t="n"/>
      <c r="J114" s="91" t="n"/>
      <c r="K114" s="91" t="n"/>
      <c r="L114" s="91" t="n"/>
      <c r="M114" s="91" t="n"/>
      <c r="N114" s="91" t="n"/>
      <c r="O114" s="91" t="n"/>
      <c r="P114" s="91" t="n"/>
      <c r="Q114" s="91" t="n"/>
      <c r="R114" s="91" t="n"/>
      <c r="S114" s="91" t="n"/>
      <c r="T114" s="91" t="n"/>
      <c r="U114" s="91" t="n"/>
      <c r="V114" s="91" t="n"/>
      <c r="W114" s="91" t="n"/>
      <c r="X114" s="91" t="n"/>
      <c r="Y114" s="91" t="n"/>
      <c r="Z114" s="91" t="n"/>
      <c r="AA114" s="91" t="n"/>
      <c r="AB114" s="91" t="n"/>
      <c r="AC114" s="91" t="n"/>
      <c r="AD114" s="91" t="n"/>
      <c r="AE114" s="91" t="n"/>
      <c r="AF114" s="91" t="n"/>
      <c r="AG114" s="91" t="n"/>
      <c r="AH114" s="91" t="n"/>
      <c r="AI114" s="91" t="n"/>
      <c r="AJ114" s="5">
        <f>SUM(E114:AI114)</f>
        <v/>
      </c>
      <c r="AK114" s="5">
        <f>AJ114*D114</f>
        <v/>
      </c>
    </row>
    <row r="115" ht="50" customHeight="1">
      <c r="A115" s="124" t="inlineStr">
        <is>
          <t xml:space="preserve">7. บันทึกข้อความซ่อมอุปกรณ์/เครื่องมือแพทย์ /บันทึกข้อความต่าง ๆ </t>
        </is>
      </c>
      <c r="B115" s="86" t="inlineStr">
        <is>
          <t xml:space="preserve">ครั้ง </t>
        </is>
      </c>
      <c r="C115" s="73" t="inlineStr">
        <is>
          <t>เหมา</t>
        </is>
      </c>
      <c r="D115" s="86" t="n">
        <v>1.43</v>
      </c>
      <c r="E115" s="91" t="n"/>
      <c r="F115" s="91" t="n"/>
      <c r="G115" s="91" t="n"/>
      <c r="H115" s="91" t="n"/>
      <c r="I115" s="91" t="n"/>
      <c r="J115" s="91" t="n"/>
      <c r="K115" s="91" t="n"/>
      <c r="L115" s="91" t="n"/>
      <c r="M115" s="91" t="n"/>
      <c r="N115" s="91" t="n"/>
      <c r="O115" s="91" t="n"/>
      <c r="P115" s="91" t="n"/>
      <c r="Q115" s="91" t="n"/>
      <c r="R115" s="91" t="n"/>
      <c r="S115" s="91" t="n"/>
      <c r="T115" s="91" t="n"/>
      <c r="U115" s="91" t="n"/>
      <c r="V115" s="91" t="n"/>
      <c r="W115" s="91" t="n"/>
      <c r="X115" s="91" t="n"/>
      <c r="Y115" s="91" t="n"/>
      <c r="Z115" s="91" t="n"/>
      <c r="AA115" s="91" t="n"/>
      <c r="AB115" s="91" t="n"/>
      <c r="AC115" s="91" t="n"/>
      <c r="AD115" s="91" t="n"/>
      <c r="AE115" s="91" t="n"/>
      <c r="AF115" s="91" t="n"/>
      <c r="AG115" s="91" t="n"/>
      <c r="AH115" s="91" t="n"/>
      <c r="AI115" s="91" t="n"/>
      <c r="AJ115" s="5">
        <f>SUM(E115:AI115)</f>
        <v/>
      </c>
      <c r="AK115" s="5">
        <f>AJ115*D115</f>
        <v/>
      </c>
    </row>
    <row r="116" ht="25" customHeight="1">
      <c r="A116" s="16" t="inlineStr">
        <is>
          <t>8. Admin ระบบ SPPH personnel</t>
        </is>
      </c>
      <c r="B116" s="41" t="inlineStr">
        <is>
          <t>เดือน</t>
        </is>
      </c>
      <c r="C116" s="82" t="inlineStr">
        <is>
          <t>เหมา</t>
        </is>
      </c>
      <c r="D116" s="14" t="n">
        <v>20</v>
      </c>
      <c r="E116" s="91" t="n"/>
      <c r="F116" s="91" t="n"/>
      <c r="G116" s="91" t="n"/>
      <c r="H116" s="91" t="n"/>
      <c r="I116" s="91" t="n"/>
      <c r="J116" s="91" t="n"/>
      <c r="K116" s="91" t="n"/>
      <c r="L116" s="91" t="n"/>
      <c r="M116" s="91" t="n"/>
      <c r="N116" s="91" t="n"/>
      <c r="O116" s="91" t="n"/>
      <c r="P116" s="91" t="n"/>
      <c r="Q116" s="91" t="n"/>
      <c r="R116" s="91" t="n"/>
      <c r="S116" s="91" t="n"/>
      <c r="T116" s="91" t="n"/>
      <c r="U116" s="91" t="n"/>
      <c r="V116" s="91" t="n"/>
      <c r="W116" s="91" t="n"/>
      <c r="X116" s="91" t="n"/>
      <c r="Y116" s="91" t="n"/>
      <c r="Z116" s="91" t="n"/>
      <c r="AA116" s="91" t="n"/>
      <c r="AB116" s="91" t="n"/>
      <c r="AC116" s="91" t="n"/>
      <c r="AD116" s="91" t="n"/>
      <c r="AE116" s="91" t="n"/>
      <c r="AF116" s="91" t="n"/>
      <c r="AG116" s="91" t="n"/>
      <c r="AH116" s="91" t="n"/>
      <c r="AI116" s="91" t="n"/>
      <c r="AJ116" s="5">
        <f>SUM(E116:AI116)</f>
        <v/>
      </c>
      <c r="AK116" s="5">
        <f>AJ116*D116</f>
        <v/>
      </c>
    </row>
    <row r="117" ht="25" customHeight="1">
      <c r="A117" s="746" t="inlineStr">
        <is>
          <t>◆ 9. Admin ระบบ smart conference</t>
        </is>
      </c>
      <c r="B117" s="41" t="inlineStr">
        <is>
          <t>เดือน</t>
        </is>
      </c>
      <c r="C117" s="82" t="inlineStr">
        <is>
          <t>เหมา</t>
        </is>
      </c>
      <c r="D117" s="14" t="n">
        <v>20</v>
      </c>
      <c r="E117" s="91" t="n"/>
      <c r="F117" s="91" t="n"/>
      <c r="G117" s="91" t="n"/>
      <c r="H117" s="91" t="n"/>
      <c r="I117" s="91" t="n"/>
      <c r="J117" s="91" t="n"/>
      <c r="K117" s="91" t="n"/>
      <c r="L117" s="91" t="n"/>
      <c r="M117" s="91" t="n"/>
      <c r="N117" s="91" t="n"/>
      <c r="O117" s="91" t="n"/>
      <c r="P117" s="91" t="n"/>
      <c r="Q117" s="91" t="n"/>
      <c r="R117" s="91" t="n"/>
      <c r="S117" s="91" t="n"/>
      <c r="T117" s="91" t="n"/>
      <c r="U117" s="91" t="n"/>
      <c r="V117" s="91" t="n"/>
      <c r="W117" s="91" t="n"/>
      <c r="X117" s="91" t="n"/>
      <c r="Y117" s="91" t="n"/>
      <c r="Z117" s="91" t="n"/>
      <c r="AA117" s="91" t="n"/>
      <c r="AB117" s="91" t="n"/>
      <c r="AC117" s="91" t="n"/>
      <c r="AD117" s="91" t="n"/>
      <c r="AE117" s="91" t="n"/>
      <c r="AF117" s="91" t="n"/>
      <c r="AG117" s="91" t="n"/>
      <c r="AH117" s="91" t="n"/>
      <c r="AI117" s="91" t="n"/>
      <c r="AJ117" s="5">
        <f>SUM(E117:AI117)</f>
        <v/>
      </c>
      <c r="AK117" s="5">
        <f>AJ117*D117</f>
        <v/>
      </c>
    </row>
    <row r="118" ht="25" customHeight="1">
      <c r="A118" s="746" t="inlineStr">
        <is>
          <t>◆ 10. Admin ระบบ P4P</t>
        </is>
      </c>
      <c r="B118" s="41" t="inlineStr">
        <is>
          <t>เดือน</t>
        </is>
      </c>
      <c r="C118" s="82" t="inlineStr">
        <is>
          <t>เหมา</t>
        </is>
      </c>
      <c r="D118" s="14" t="n">
        <v>20</v>
      </c>
      <c r="E118" s="91" t="n"/>
      <c r="F118" s="91" t="n"/>
      <c r="G118" s="91" t="n"/>
      <c r="H118" s="91" t="n"/>
      <c r="I118" s="91" t="n"/>
      <c r="J118" s="91" t="n"/>
      <c r="K118" s="91" t="n"/>
      <c r="L118" s="91" t="n"/>
      <c r="M118" s="91" t="n"/>
      <c r="N118" s="91" t="n"/>
      <c r="O118" s="91" t="n"/>
      <c r="P118" s="91" t="n"/>
      <c r="Q118" s="91" t="n"/>
      <c r="R118" s="91" t="n"/>
      <c r="S118" s="91" t="n"/>
      <c r="T118" s="91" t="n"/>
      <c r="U118" s="91" t="n"/>
      <c r="V118" s="91" t="n"/>
      <c r="W118" s="91" t="n"/>
      <c r="X118" s="91" t="n"/>
      <c r="Y118" s="91" t="n"/>
      <c r="Z118" s="91" t="n"/>
      <c r="AA118" s="91" t="n"/>
      <c r="AB118" s="91" t="n"/>
      <c r="AC118" s="91" t="n"/>
      <c r="AD118" s="91" t="n"/>
      <c r="AE118" s="91" t="n"/>
      <c r="AF118" s="91" t="n"/>
      <c r="AG118" s="91" t="n"/>
      <c r="AH118" s="91" t="n"/>
      <c r="AI118" s="91" t="n"/>
      <c r="AJ118" s="5">
        <f>SUM(E118:AI118)</f>
        <v/>
      </c>
      <c r="AK118" s="5">
        <f>AJ118*D118</f>
        <v/>
      </c>
    </row>
    <row r="119" ht="50" customHeight="1">
      <c r="A119" s="747" t="inlineStr">
        <is>
          <t>◆ 11. การตรวจสอบ ลงนามหนังสือทั่วไป / รายงานสถิติ</t>
        </is>
      </c>
      <c r="B119" s="126" t="inlineStr">
        <is>
          <t>ฉบับ</t>
        </is>
      </c>
      <c r="C119" s="127" t="n">
        <v>10</v>
      </c>
      <c r="D119" s="128">
        <f>C119*0.143</f>
        <v/>
      </c>
      <c r="E119" s="91" t="n"/>
      <c r="F119" s="91" t="n"/>
      <c r="G119" s="91" t="n"/>
      <c r="H119" s="91" t="n"/>
      <c r="I119" s="91" t="n"/>
      <c r="J119" s="91" t="n"/>
      <c r="K119" s="91" t="n"/>
      <c r="L119" s="91" t="n"/>
      <c r="M119" s="91" t="n"/>
      <c r="N119" s="91" t="n"/>
      <c r="O119" s="91" t="n"/>
      <c r="P119" s="91" t="n"/>
      <c r="Q119" s="91" t="n"/>
      <c r="R119" s="91" t="n"/>
      <c r="S119" s="91" t="n"/>
      <c r="T119" s="91" t="n"/>
      <c r="U119" s="91" t="n"/>
      <c r="V119" s="91" t="n"/>
      <c r="W119" s="91" t="n"/>
      <c r="X119" s="91" t="n"/>
      <c r="Y119" s="91" t="n"/>
      <c r="Z119" s="91" t="n"/>
      <c r="AA119" s="91" t="n"/>
      <c r="AB119" s="91" t="n"/>
      <c r="AC119" s="91" t="n"/>
      <c r="AD119" s="91" t="n"/>
      <c r="AE119" s="91" t="n"/>
      <c r="AF119" s="91" t="n"/>
      <c r="AG119" s="91" t="n"/>
      <c r="AH119" s="91" t="n"/>
      <c r="AI119" s="91" t="n"/>
      <c r="AJ119" s="33">
        <f>SUM(E119:AI119)</f>
        <v/>
      </c>
      <c r="AK119" s="33">
        <f>AJ119*D119</f>
        <v/>
      </c>
    </row>
    <row r="120" ht="25" customHeight="1">
      <c r="A120" s="129" t="inlineStr">
        <is>
          <t>วิชาการ</t>
        </is>
      </c>
      <c r="B120" s="109" t="n"/>
      <c r="C120" s="110" t="n"/>
      <c r="D120" s="110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691" t="n"/>
      <c r="AK120" s="67" t="n"/>
    </row>
    <row r="121" ht="25" customHeight="1">
      <c r="A121" s="130" t="inlineStr">
        <is>
          <t>1. การนำเสนอผลงาน (มีเอกสารประกอบ)</t>
        </is>
      </c>
      <c r="B121" s="92" t="inlineStr">
        <is>
          <t xml:space="preserve">ครั้ง </t>
        </is>
      </c>
      <c r="C121" s="92" t="inlineStr">
        <is>
          <t>เหมา</t>
        </is>
      </c>
      <c r="D121" s="92" t="n">
        <v>30</v>
      </c>
      <c r="E121" s="93" t="n"/>
      <c r="F121" s="93" t="n"/>
      <c r="G121" s="93" t="n"/>
      <c r="H121" s="93" t="n"/>
      <c r="I121" s="93" t="n"/>
      <c r="J121" s="93" t="n"/>
      <c r="K121" s="93" t="n"/>
      <c r="L121" s="93" t="n"/>
      <c r="M121" s="93" t="n"/>
      <c r="N121" s="93" t="n"/>
      <c r="O121" s="93" t="n"/>
      <c r="P121" s="93" t="n"/>
      <c r="Q121" s="93" t="n"/>
      <c r="R121" s="93" t="n"/>
      <c r="S121" s="93" t="n"/>
      <c r="T121" s="93" t="n"/>
      <c r="U121" s="93" t="n"/>
      <c r="V121" s="93" t="n"/>
      <c r="W121" s="93" t="n"/>
      <c r="X121" s="93" t="n"/>
      <c r="Y121" s="93" t="n"/>
      <c r="Z121" s="93" t="n"/>
      <c r="AA121" s="93" t="n"/>
      <c r="AB121" s="93" t="n"/>
      <c r="AC121" s="93" t="n"/>
      <c r="AD121" s="93" t="n"/>
      <c r="AE121" s="93" t="n"/>
      <c r="AF121" s="93" t="n"/>
      <c r="AG121" s="93" t="n"/>
      <c r="AH121" s="93" t="n"/>
      <c r="AI121" s="93" t="n"/>
      <c r="AJ121" s="50">
        <f>SUM(E121:AI121)</f>
        <v/>
      </c>
      <c r="AK121" s="50">
        <f>AJ121*D121</f>
        <v/>
      </c>
    </row>
    <row r="122" ht="25" customHeight="1">
      <c r="A122" s="131" t="inlineStr">
        <is>
          <t>2. การจัดทำคู่มือ แผ่นพับ</t>
        </is>
      </c>
      <c r="B122" s="30" t="inlineStr">
        <is>
          <t>เรื่อง</t>
        </is>
      </c>
      <c r="C122" s="31" t="inlineStr">
        <is>
          <t>เหมา</t>
        </is>
      </c>
      <c r="D122" s="30" t="n">
        <v>60</v>
      </c>
      <c r="E122" s="91" t="n"/>
      <c r="F122" s="91" t="n"/>
      <c r="G122" s="91" t="n"/>
      <c r="H122" s="91" t="n"/>
      <c r="I122" s="91" t="n"/>
      <c r="J122" s="91" t="n"/>
      <c r="K122" s="91" t="n"/>
      <c r="L122" s="91" t="n"/>
      <c r="M122" s="91" t="n"/>
      <c r="N122" s="91" t="n"/>
      <c r="O122" s="91" t="n"/>
      <c r="P122" s="91" t="n"/>
      <c r="Q122" s="91" t="n"/>
      <c r="R122" s="91" t="n"/>
      <c r="S122" s="91" t="n"/>
      <c r="T122" s="91" t="n"/>
      <c r="U122" s="91" t="n"/>
      <c r="V122" s="91" t="n"/>
      <c r="W122" s="91" t="n"/>
      <c r="X122" s="91" t="n"/>
      <c r="Y122" s="91" t="n"/>
      <c r="Z122" s="91" t="n"/>
      <c r="AA122" s="91" t="n"/>
      <c r="AB122" s="91" t="n"/>
      <c r="AC122" s="91" t="n"/>
      <c r="AD122" s="91" t="n"/>
      <c r="AE122" s="91" t="n"/>
      <c r="AF122" s="91" t="n"/>
      <c r="AG122" s="91" t="n"/>
      <c r="AH122" s="91" t="n"/>
      <c r="AI122" s="91" t="n"/>
      <c r="AJ122" s="33">
        <f>SUM(E122:AI122)</f>
        <v/>
      </c>
      <c r="AK122" s="33">
        <f>AJ122*D122</f>
        <v/>
      </c>
    </row>
    <row r="123" ht="25" customHeight="1">
      <c r="A123" s="132" t="inlineStr">
        <is>
          <t>3. การทำวิจัย</t>
        </is>
      </c>
      <c r="B123" s="133" t="n"/>
      <c r="C123" s="134" t="n"/>
      <c r="D123" s="134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691" t="n"/>
      <c r="AK123" s="67" t="n"/>
    </row>
    <row r="124" ht="25" customHeight="1">
      <c r="A124" s="74" t="inlineStr">
        <is>
          <t xml:space="preserve">  3.1 ผ่านหัวข้อ  Ethics</t>
        </is>
      </c>
      <c r="B124" s="92" t="inlineStr">
        <is>
          <t>เรื่อง</t>
        </is>
      </c>
      <c r="C124" s="92" t="inlineStr">
        <is>
          <t>เหมา</t>
        </is>
      </c>
      <c r="D124" s="92" t="n">
        <v>200</v>
      </c>
      <c r="E124" s="93" t="n"/>
      <c r="F124" s="93" t="n"/>
      <c r="G124" s="93" t="n"/>
      <c r="H124" s="93" t="n"/>
      <c r="I124" s="93" t="n"/>
      <c r="J124" s="93" t="n"/>
      <c r="K124" s="93" t="n"/>
      <c r="L124" s="93" t="n"/>
      <c r="M124" s="93" t="n"/>
      <c r="N124" s="93" t="n"/>
      <c r="O124" s="93" t="n"/>
      <c r="P124" s="93" t="n"/>
      <c r="Q124" s="93" t="n"/>
      <c r="R124" s="93" t="n"/>
      <c r="S124" s="93" t="n"/>
      <c r="T124" s="93" t="n"/>
      <c r="U124" s="93" t="n"/>
      <c r="V124" s="93" t="n"/>
      <c r="W124" s="93" t="n"/>
      <c r="X124" s="93" t="n"/>
      <c r="Y124" s="93" t="n"/>
      <c r="Z124" s="93" t="n"/>
      <c r="AA124" s="93" t="n"/>
      <c r="AB124" s="93" t="n"/>
      <c r="AC124" s="93" t="n"/>
      <c r="AD124" s="93" t="n"/>
      <c r="AE124" s="93" t="n"/>
      <c r="AF124" s="93" t="n"/>
      <c r="AG124" s="93" t="n"/>
      <c r="AH124" s="93" t="n"/>
      <c r="AI124" s="93" t="n"/>
      <c r="AJ124" s="50">
        <f>SUM(E124:AI124)</f>
        <v/>
      </c>
      <c r="AK124" s="50">
        <f>AJ124*D124</f>
        <v/>
      </c>
    </row>
    <row r="125" ht="25" customHeight="1">
      <c r="A125" s="74" t="inlineStr">
        <is>
          <t xml:space="preserve">  3.2 ผ่านเก็บข้อมูล</t>
        </is>
      </c>
      <c r="B125" s="86" t="inlineStr">
        <is>
          <t>เรื่อง</t>
        </is>
      </c>
      <c r="C125" s="86" t="inlineStr">
        <is>
          <t>เหมา</t>
        </is>
      </c>
      <c r="D125" s="86" t="n">
        <v>200</v>
      </c>
      <c r="E125" s="91" t="n"/>
      <c r="F125" s="91" t="n"/>
      <c r="G125" s="91" t="n"/>
      <c r="H125" s="91" t="n"/>
      <c r="I125" s="91" t="n"/>
      <c r="J125" s="91" t="n"/>
      <c r="K125" s="91" t="n"/>
      <c r="L125" s="91" t="n"/>
      <c r="M125" s="91" t="n"/>
      <c r="N125" s="91" t="n"/>
      <c r="O125" s="91" t="n"/>
      <c r="P125" s="91" t="n"/>
      <c r="Q125" s="91" t="n"/>
      <c r="R125" s="91" t="n"/>
      <c r="S125" s="91" t="n"/>
      <c r="T125" s="91" t="n"/>
      <c r="U125" s="91" t="n"/>
      <c r="V125" s="91" t="n"/>
      <c r="W125" s="91" t="n"/>
      <c r="X125" s="91" t="n"/>
      <c r="Y125" s="91" t="n"/>
      <c r="Z125" s="91" t="n"/>
      <c r="AA125" s="91" t="n"/>
      <c r="AB125" s="91" t="n"/>
      <c r="AC125" s="91" t="n"/>
      <c r="AD125" s="91" t="n"/>
      <c r="AE125" s="91" t="n"/>
      <c r="AF125" s="91" t="n"/>
      <c r="AG125" s="91" t="n"/>
      <c r="AH125" s="91" t="n"/>
      <c r="AI125" s="91" t="n"/>
      <c r="AJ125" s="5">
        <f>SUM(E125:AI125)</f>
        <v/>
      </c>
      <c r="AK125" s="5">
        <f>AJ125*D125</f>
        <v/>
      </c>
    </row>
    <row r="126" ht="25" customHeight="1">
      <c r="A126" s="74" t="inlineStr">
        <is>
          <t xml:space="preserve">  3.3 ผ่านแปลผลและวิเคราะห์</t>
        </is>
      </c>
      <c r="B126" s="86" t="inlineStr">
        <is>
          <t>เรื่อง</t>
        </is>
      </c>
      <c r="C126" s="86" t="inlineStr">
        <is>
          <t>เหมา</t>
        </is>
      </c>
      <c r="D126" s="86" t="n">
        <v>200</v>
      </c>
      <c r="E126" s="91" t="n"/>
      <c r="F126" s="91" t="n"/>
      <c r="G126" s="91" t="n"/>
      <c r="H126" s="91" t="n"/>
      <c r="I126" s="91" t="n"/>
      <c r="J126" s="91" t="n"/>
      <c r="K126" s="91" t="n"/>
      <c r="L126" s="91" t="n"/>
      <c r="M126" s="91" t="n"/>
      <c r="N126" s="91" t="n"/>
      <c r="O126" s="91" t="n"/>
      <c r="P126" s="91" t="n"/>
      <c r="Q126" s="91" t="n"/>
      <c r="R126" s="91" t="n"/>
      <c r="S126" s="91" t="n"/>
      <c r="T126" s="91" t="n"/>
      <c r="U126" s="91" t="n"/>
      <c r="V126" s="91" t="n"/>
      <c r="W126" s="91" t="n"/>
      <c r="X126" s="91" t="n"/>
      <c r="Y126" s="91" t="n"/>
      <c r="Z126" s="91" t="n"/>
      <c r="AA126" s="91" t="n"/>
      <c r="AB126" s="91" t="n"/>
      <c r="AC126" s="91" t="n"/>
      <c r="AD126" s="91" t="n"/>
      <c r="AE126" s="91" t="n"/>
      <c r="AF126" s="91" t="n"/>
      <c r="AG126" s="91" t="n"/>
      <c r="AH126" s="91" t="n"/>
      <c r="AI126" s="91" t="n"/>
      <c r="AJ126" s="5">
        <f>SUM(E126:AI126)</f>
        <v/>
      </c>
      <c r="AK126" s="5">
        <f>AJ126*D126</f>
        <v/>
      </c>
    </row>
    <row r="127" ht="25" customHeight="1">
      <c r="A127" s="74" t="inlineStr">
        <is>
          <t xml:space="preserve">  3.4 Full text</t>
        </is>
      </c>
      <c r="B127" s="86" t="inlineStr">
        <is>
          <t>เรื่อง</t>
        </is>
      </c>
      <c r="C127" s="86" t="inlineStr">
        <is>
          <t>เหมา</t>
        </is>
      </c>
      <c r="D127" s="86" t="n">
        <v>300</v>
      </c>
      <c r="E127" s="91" t="n"/>
      <c r="F127" s="91" t="n"/>
      <c r="G127" s="91" t="n"/>
      <c r="H127" s="91" t="n"/>
      <c r="I127" s="91" t="n"/>
      <c r="J127" s="91" t="n"/>
      <c r="K127" s="91" t="n"/>
      <c r="L127" s="91" t="n"/>
      <c r="M127" s="91" t="n"/>
      <c r="N127" s="91" t="n"/>
      <c r="O127" s="91" t="n"/>
      <c r="P127" s="91" t="n"/>
      <c r="Q127" s="91" t="n"/>
      <c r="R127" s="91" t="n"/>
      <c r="S127" s="91" t="n"/>
      <c r="T127" s="91" t="n"/>
      <c r="U127" s="91" t="n"/>
      <c r="V127" s="91" t="n"/>
      <c r="W127" s="91" t="n"/>
      <c r="X127" s="91" t="n"/>
      <c r="Y127" s="91" t="n"/>
      <c r="Z127" s="91" t="n"/>
      <c r="AA127" s="91" t="n"/>
      <c r="AB127" s="91" t="n"/>
      <c r="AC127" s="91" t="n"/>
      <c r="AD127" s="91" t="n"/>
      <c r="AE127" s="91" t="n"/>
      <c r="AF127" s="91" t="n"/>
      <c r="AG127" s="91" t="n"/>
      <c r="AH127" s="91" t="n"/>
      <c r="AI127" s="91" t="n"/>
      <c r="AJ127" s="5">
        <f>SUM(E127:AI127)</f>
        <v/>
      </c>
      <c r="AK127" s="5">
        <f>AJ127*D127</f>
        <v/>
      </c>
    </row>
    <row r="128" ht="25" customHeight="1">
      <c r="A128" s="74" t="inlineStr">
        <is>
          <t xml:space="preserve">  3.5 ตีพิมพ์</t>
        </is>
      </c>
      <c r="B128" s="86" t="inlineStr">
        <is>
          <t>เรื่อง</t>
        </is>
      </c>
      <c r="C128" s="86" t="inlineStr">
        <is>
          <t>เหมา</t>
        </is>
      </c>
      <c r="D128" s="86" t="n">
        <v>500</v>
      </c>
      <c r="E128" s="91" t="n"/>
      <c r="F128" s="91" t="n"/>
      <c r="G128" s="91" t="n"/>
      <c r="H128" s="91" t="n"/>
      <c r="I128" s="91" t="n"/>
      <c r="J128" s="91" t="n"/>
      <c r="K128" s="91" t="n"/>
      <c r="L128" s="91" t="n"/>
      <c r="M128" s="91" t="n"/>
      <c r="N128" s="91" t="n"/>
      <c r="O128" s="91" t="n"/>
      <c r="P128" s="91" t="n"/>
      <c r="Q128" s="91" t="n"/>
      <c r="R128" s="91" t="n"/>
      <c r="S128" s="91" t="n"/>
      <c r="T128" s="91" t="n"/>
      <c r="U128" s="91" t="n"/>
      <c r="V128" s="91" t="n"/>
      <c r="W128" s="91" t="n"/>
      <c r="X128" s="91" t="n"/>
      <c r="Y128" s="91" t="n"/>
      <c r="Z128" s="91" t="n"/>
      <c r="AA128" s="91" t="n"/>
      <c r="AB128" s="91" t="n"/>
      <c r="AC128" s="91" t="n"/>
      <c r="AD128" s="91" t="n"/>
      <c r="AE128" s="91" t="n"/>
      <c r="AF128" s="91" t="n"/>
      <c r="AG128" s="91" t="n"/>
      <c r="AH128" s="91" t="n"/>
      <c r="AI128" s="91" t="n"/>
      <c r="AJ128" s="5">
        <f>SUM(E128:AI128)</f>
        <v/>
      </c>
      <c r="AK128" s="5">
        <f>AJ128*D128</f>
        <v/>
      </c>
    </row>
    <row r="129" ht="25" customHeight="1">
      <c r="A129" s="74" t="inlineStr">
        <is>
          <t>4. การทำเอกสารคุณภาพ/ CQI/ นวัตกรรม</t>
        </is>
      </c>
      <c r="B129" s="86" t="inlineStr">
        <is>
          <t>เรื่อง</t>
        </is>
      </c>
      <c r="C129" s="86" t="inlineStr">
        <is>
          <t>เหมา</t>
        </is>
      </c>
      <c r="D129" s="122" t="n">
        <v>60</v>
      </c>
      <c r="E129" s="91" t="n"/>
      <c r="F129" s="91" t="n"/>
      <c r="G129" s="91" t="n"/>
      <c r="H129" s="91" t="n"/>
      <c r="I129" s="91" t="n"/>
      <c r="J129" s="91" t="n"/>
      <c r="K129" s="91" t="n"/>
      <c r="L129" s="91" t="n"/>
      <c r="M129" s="91" t="n"/>
      <c r="N129" s="91" t="n"/>
      <c r="O129" s="91" t="n"/>
      <c r="P129" s="91" t="n"/>
      <c r="Q129" s="91" t="n"/>
      <c r="R129" s="91" t="n"/>
      <c r="S129" s="91" t="n"/>
      <c r="T129" s="91" t="n"/>
      <c r="U129" s="91" t="n"/>
      <c r="V129" s="91" t="n"/>
      <c r="W129" s="91" t="n"/>
      <c r="X129" s="91" t="n"/>
      <c r="Y129" s="91" t="n"/>
      <c r="Z129" s="91" t="n"/>
      <c r="AA129" s="91" t="n"/>
      <c r="AB129" s="91" t="n"/>
      <c r="AC129" s="91" t="n"/>
      <c r="AD129" s="91" t="n"/>
      <c r="AE129" s="91" t="n"/>
      <c r="AF129" s="91" t="n"/>
      <c r="AG129" s="91" t="n"/>
      <c r="AH129" s="91" t="n"/>
      <c r="AI129" s="91" t="n"/>
      <c r="AJ129" s="5">
        <f>SUM(E129:AI129)</f>
        <v/>
      </c>
      <c r="AK129" s="5">
        <f>AJ129*D129</f>
        <v/>
      </c>
    </row>
    <row r="130" ht="25" customHeight="1">
      <c r="A130" s="74" t="inlineStr">
        <is>
          <t xml:space="preserve">5. วิเคราะห์ + สรุปผลงานประจำปี </t>
        </is>
      </c>
      <c r="B130" s="72" t="inlineStr">
        <is>
          <t xml:space="preserve">ครั้ง </t>
        </is>
      </c>
      <c r="C130" s="86" t="inlineStr">
        <is>
          <t>เหมา</t>
        </is>
      </c>
      <c r="D130" s="86" t="n">
        <v>60.06</v>
      </c>
      <c r="E130" s="91" t="n"/>
      <c r="F130" s="91" t="n"/>
      <c r="G130" s="91" t="n"/>
      <c r="H130" s="91" t="n"/>
      <c r="I130" s="91" t="n"/>
      <c r="J130" s="91" t="n"/>
      <c r="K130" s="91" t="n"/>
      <c r="L130" s="91" t="n"/>
      <c r="M130" s="91" t="n"/>
      <c r="N130" s="91" t="n"/>
      <c r="O130" s="91" t="n"/>
      <c r="P130" s="91" t="n"/>
      <c r="Q130" s="91" t="n"/>
      <c r="R130" s="91" t="n"/>
      <c r="S130" s="91" t="n"/>
      <c r="T130" s="91" t="n"/>
      <c r="U130" s="91" t="n"/>
      <c r="V130" s="91" t="n"/>
      <c r="W130" s="91" t="n"/>
      <c r="X130" s="91" t="n"/>
      <c r="Y130" s="91" t="n"/>
      <c r="Z130" s="91" t="n"/>
      <c r="AA130" s="91" t="n"/>
      <c r="AB130" s="91" t="n"/>
      <c r="AC130" s="91" t="n"/>
      <c r="AD130" s="91" t="n"/>
      <c r="AE130" s="91" t="n"/>
      <c r="AF130" s="91" t="n"/>
      <c r="AG130" s="91" t="n"/>
      <c r="AH130" s="91" t="n"/>
      <c r="AI130" s="91" t="n"/>
      <c r="AJ130" s="5">
        <f>SUM(E130:AI130)</f>
        <v/>
      </c>
      <c r="AK130" s="5">
        <f>AJ130*D130</f>
        <v/>
      </c>
    </row>
    <row r="131" ht="25" customHeight="1">
      <c r="A131" s="74" t="inlineStr">
        <is>
          <t xml:space="preserve">6. Clinical teaching </t>
        </is>
      </c>
      <c r="B131" s="73" t="inlineStr">
        <is>
          <t xml:space="preserve">ครั้ง </t>
        </is>
      </c>
      <c r="C131" s="86" t="inlineStr">
        <is>
          <t>เหมา</t>
        </is>
      </c>
      <c r="D131" s="86" t="n">
        <v>8.58</v>
      </c>
      <c r="E131" s="91" t="n"/>
      <c r="F131" s="91" t="n"/>
      <c r="G131" s="91" t="n"/>
      <c r="H131" s="91" t="n"/>
      <c r="I131" s="91" t="n"/>
      <c r="J131" s="91" t="n"/>
      <c r="K131" s="91" t="n"/>
      <c r="L131" s="91" t="n"/>
      <c r="M131" s="91" t="n"/>
      <c r="N131" s="91" t="n"/>
      <c r="O131" s="91" t="n"/>
      <c r="P131" s="91" t="n"/>
      <c r="Q131" s="91" t="n"/>
      <c r="R131" s="91" t="n"/>
      <c r="S131" s="91" t="n"/>
      <c r="T131" s="91" t="n"/>
      <c r="U131" s="91" t="n"/>
      <c r="V131" s="91" t="n"/>
      <c r="W131" s="91" t="n"/>
      <c r="X131" s="91" t="n"/>
      <c r="Y131" s="91" t="n"/>
      <c r="Z131" s="91" t="n"/>
      <c r="AA131" s="91" t="n"/>
      <c r="AB131" s="91" t="n"/>
      <c r="AC131" s="91" t="n"/>
      <c r="AD131" s="91" t="n"/>
      <c r="AE131" s="91" t="n"/>
      <c r="AF131" s="91" t="n"/>
      <c r="AG131" s="91" t="n"/>
      <c r="AH131" s="91" t="n"/>
      <c r="AI131" s="91" t="n"/>
      <c r="AJ131" s="5">
        <f>SUM(E131:AI131)</f>
        <v/>
      </c>
      <c r="AK131" s="5">
        <f>AJ131*D131</f>
        <v/>
      </c>
    </row>
    <row r="132" ht="25" customHeight="1">
      <c r="A132" s="74" t="inlineStr">
        <is>
          <t>7. ให้คำแนะนำนิสิตแพทย์</t>
        </is>
      </c>
      <c r="B132" s="73" t="inlineStr">
        <is>
          <t xml:space="preserve">ครั้ง </t>
        </is>
      </c>
      <c r="C132" s="86" t="inlineStr">
        <is>
          <t>เหมา</t>
        </is>
      </c>
      <c r="D132" s="86" t="n">
        <v>2.86</v>
      </c>
      <c r="E132" s="91" t="n"/>
      <c r="F132" s="91" t="n"/>
      <c r="G132" s="91" t="n"/>
      <c r="H132" s="91" t="n"/>
      <c r="I132" s="91" t="n"/>
      <c r="J132" s="91" t="n"/>
      <c r="K132" s="91" t="n"/>
      <c r="L132" s="91" t="n"/>
      <c r="M132" s="91" t="n"/>
      <c r="N132" s="91" t="n"/>
      <c r="O132" s="91" t="n"/>
      <c r="P132" s="91" t="n"/>
      <c r="Q132" s="91" t="n"/>
      <c r="R132" s="91" t="n"/>
      <c r="S132" s="91" t="n"/>
      <c r="T132" s="91" t="n"/>
      <c r="U132" s="91" t="n"/>
      <c r="V132" s="91" t="n"/>
      <c r="W132" s="91" t="n"/>
      <c r="X132" s="91" t="n"/>
      <c r="Y132" s="91" t="n"/>
      <c r="Z132" s="91" t="n"/>
      <c r="AA132" s="91" t="n"/>
      <c r="AB132" s="91" t="n"/>
      <c r="AC132" s="91" t="n"/>
      <c r="AD132" s="91" t="n"/>
      <c r="AE132" s="91" t="n"/>
      <c r="AF132" s="91" t="n"/>
      <c r="AG132" s="91" t="n"/>
      <c r="AH132" s="91" t="n"/>
      <c r="AI132" s="91" t="n"/>
      <c r="AJ132" s="5">
        <f>SUM(E132:AI132)</f>
        <v/>
      </c>
      <c r="AK132" s="5">
        <f>AJ132*D132</f>
        <v/>
      </c>
    </row>
    <row r="133" ht="25" customHeight="1">
      <c r="A133" s="74" t="inlineStr">
        <is>
          <t>8. นิเทศนักศึกษา /รับผู้ศึกษาดูงาน/ Orientate</t>
        </is>
      </c>
      <c r="B133" s="73" t="inlineStr">
        <is>
          <t xml:space="preserve">ครั้ง </t>
        </is>
      </c>
      <c r="C133" s="86" t="inlineStr">
        <is>
          <t>เหมา</t>
        </is>
      </c>
      <c r="D133" s="86" t="n">
        <v>8.58</v>
      </c>
      <c r="E133" s="91" t="n"/>
      <c r="F133" s="91" t="n"/>
      <c r="G133" s="91" t="n"/>
      <c r="H133" s="91" t="n"/>
      <c r="I133" s="91" t="n"/>
      <c r="J133" s="91" t="n"/>
      <c r="K133" s="91" t="n"/>
      <c r="L133" s="91" t="n"/>
      <c r="M133" s="91" t="n"/>
      <c r="N133" s="91" t="n"/>
      <c r="O133" s="91" t="n"/>
      <c r="P133" s="91" t="n"/>
      <c r="Q133" s="91" t="n"/>
      <c r="R133" s="91" t="n"/>
      <c r="S133" s="91" t="n"/>
      <c r="T133" s="91" t="n"/>
      <c r="U133" s="91" t="n"/>
      <c r="V133" s="91" t="n"/>
      <c r="W133" s="91" t="n"/>
      <c r="X133" s="91" t="n"/>
      <c r="Y133" s="91" t="n"/>
      <c r="Z133" s="91" t="n"/>
      <c r="AA133" s="91" t="n"/>
      <c r="AB133" s="91" t="n"/>
      <c r="AC133" s="91" t="n"/>
      <c r="AD133" s="91" t="n"/>
      <c r="AE133" s="91" t="n"/>
      <c r="AF133" s="91" t="n"/>
      <c r="AG133" s="91" t="n"/>
      <c r="AH133" s="91" t="n"/>
      <c r="AI133" s="91" t="n"/>
      <c r="AJ133" s="5">
        <f>SUM(E133:AI133)</f>
        <v/>
      </c>
      <c r="AK133" s="5">
        <f>AJ133*D133</f>
        <v/>
      </c>
    </row>
    <row r="134" ht="25" customHeight="1">
      <c r="A134" s="74" t="inlineStr">
        <is>
          <t>9. รับผู้ศึกษาดูงาน (ตามที่ได้รับมอบหมาย)</t>
        </is>
      </c>
      <c r="B134" s="135" t="inlineStr">
        <is>
          <t xml:space="preserve">ครั้ง </t>
        </is>
      </c>
      <c r="C134" s="60" t="inlineStr">
        <is>
          <t>เหมา</t>
        </is>
      </c>
      <c r="D134" s="60" t="n">
        <v>8.58</v>
      </c>
      <c r="E134" s="91" t="n"/>
      <c r="F134" s="91" t="n"/>
      <c r="G134" s="91" t="n"/>
      <c r="H134" s="91" t="n"/>
      <c r="I134" s="91" t="n"/>
      <c r="J134" s="91" t="n"/>
      <c r="K134" s="91" t="n"/>
      <c r="L134" s="91" t="n"/>
      <c r="M134" s="91" t="n"/>
      <c r="N134" s="91" t="n"/>
      <c r="O134" s="91" t="n"/>
      <c r="P134" s="91" t="n"/>
      <c r="Q134" s="91" t="n"/>
      <c r="R134" s="91" t="n"/>
      <c r="S134" s="91" t="n"/>
      <c r="T134" s="91" t="n"/>
      <c r="U134" s="91" t="n"/>
      <c r="V134" s="91" t="n"/>
      <c r="W134" s="91" t="n"/>
      <c r="X134" s="91" t="n"/>
      <c r="Y134" s="91" t="n"/>
      <c r="Z134" s="91" t="n"/>
      <c r="AA134" s="91" t="n"/>
      <c r="AB134" s="91" t="n"/>
      <c r="AC134" s="91" t="n"/>
      <c r="AD134" s="91" t="n"/>
      <c r="AE134" s="91" t="n"/>
      <c r="AF134" s="91" t="n"/>
      <c r="AG134" s="91" t="n"/>
      <c r="AH134" s="91" t="n"/>
      <c r="AI134" s="91" t="n"/>
      <c r="AJ134" s="33">
        <f>SUM(E134:AI134)</f>
        <v/>
      </c>
      <c r="AK134" s="33">
        <f>AJ134*D134</f>
        <v/>
      </c>
    </row>
    <row r="135" ht="25" customHeight="1">
      <c r="A135" s="136" t="inlineStr">
        <is>
          <t>10. เป็นวิทยากรใน / นอกโรงพยาบาล</t>
        </is>
      </c>
      <c r="B135" s="137" t="n"/>
      <c r="C135" s="138" t="n"/>
      <c r="D135" s="138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45" t="n"/>
      <c r="AK135" s="46" t="n"/>
    </row>
    <row r="136" ht="25" customHeight="1">
      <c r="A136" s="139" t="inlineStr">
        <is>
          <t xml:space="preserve">    -  วิทยากร </t>
        </is>
      </c>
      <c r="B136" s="47" t="inlineStr">
        <is>
          <t xml:space="preserve">ครั้ง </t>
        </is>
      </c>
      <c r="C136" s="48" t="inlineStr">
        <is>
          <t>เหมา</t>
        </is>
      </c>
      <c r="D136" s="48" t="n">
        <v>30</v>
      </c>
      <c r="E136" s="93" t="n"/>
      <c r="F136" s="93" t="n"/>
      <c r="G136" s="93" t="n"/>
      <c r="H136" s="93" t="n"/>
      <c r="I136" s="93" t="n"/>
      <c r="J136" s="93" t="n"/>
      <c r="K136" s="93" t="n"/>
      <c r="L136" s="93" t="n"/>
      <c r="M136" s="93" t="n"/>
      <c r="N136" s="93" t="n"/>
      <c r="O136" s="93" t="n"/>
      <c r="P136" s="93" t="n"/>
      <c r="Q136" s="93" t="n"/>
      <c r="R136" s="93" t="n"/>
      <c r="S136" s="93" t="n"/>
      <c r="T136" s="93" t="n"/>
      <c r="U136" s="93" t="n"/>
      <c r="V136" s="93" t="n"/>
      <c r="W136" s="93" t="n"/>
      <c r="X136" s="93" t="n"/>
      <c r="Y136" s="93" t="n"/>
      <c r="Z136" s="93" t="n"/>
      <c r="AA136" s="93" t="n"/>
      <c r="AB136" s="93" t="n"/>
      <c r="AC136" s="93" t="n"/>
      <c r="AD136" s="93" t="n"/>
      <c r="AE136" s="93" t="n"/>
      <c r="AF136" s="93" t="n"/>
      <c r="AG136" s="93" t="n"/>
      <c r="AH136" s="93" t="n"/>
      <c r="AI136" s="93" t="n"/>
      <c r="AJ136" s="50">
        <f>SUM(E136:AI136)</f>
        <v/>
      </c>
      <c r="AK136" s="50">
        <f>AJ136*D136</f>
        <v/>
      </c>
    </row>
    <row r="137" ht="25" customHeight="1">
      <c r="A137" s="139" t="inlineStr">
        <is>
          <t xml:space="preserve">    -  ผู้ช่วยวิทยากร </t>
        </is>
      </c>
      <c r="B137" s="27" t="inlineStr">
        <is>
          <t xml:space="preserve">ครั้ง </t>
        </is>
      </c>
      <c r="C137" s="28" t="inlineStr">
        <is>
          <t>เหมา</t>
        </is>
      </c>
      <c r="D137" s="28" t="n">
        <v>15</v>
      </c>
      <c r="E137" s="91" t="n"/>
      <c r="F137" s="91" t="n"/>
      <c r="G137" s="91" t="n"/>
      <c r="H137" s="91" t="n"/>
      <c r="I137" s="91" t="n"/>
      <c r="J137" s="91" t="n"/>
      <c r="K137" s="91" t="n"/>
      <c r="L137" s="91" t="n"/>
      <c r="M137" s="91" t="n"/>
      <c r="N137" s="91" t="n"/>
      <c r="O137" s="91" t="n"/>
      <c r="P137" s="91" t="n"/>
      <c r="Q137" s="91" t="n"/>
      <c r="R137" s="91" t="n"/>
      <c r="S137" s="91" t="n"/>
      <c r="T137" s="91" t="n"/>
      <c r="U137" s="91" t="n"/>
      <c r="V137" s="91" t="n"/>
      <c r="W137" s="91" t="n"/>
      <c r="X137" s="91" t="n"/>
      <c r="Y137" s="91" t="n"/>
      <c r="Z137" s="91" t="n"/>
      <c r="AA137" s="91" t="n"/>
      <c r="AB137" s="91" t="n"/>
      <c r="AC137" s="91" t="n"/>
      <c r="AD137" s="91" t="n"/>
      <c r="AE137" s="91" t="n"/>
      <c r="AF137" s="91" t="n"/>
      <c r="AG137" s="91" t="n"/>
      <c r="AH137" s="91" t="n"/>
      <c r="AI137" s="91" t="n"/>
      <c r="AJ137" s="5">
        <f>SUM(E137:AI137)</f>
        <v/>
      </c>
      <c r="AK137" s="5">
        <f>AJ137*D137</f>
        <v/>
      </c>
    </row>
    <row r="138" ht="25" customHeight="1">
      <c r="A138" s="139" t="inlineStr">
        <is>
          <t xml:space="preserve">   -  บรรยายวิชาการนอกหน่วยงาน</t>
        </is>
      </c>
      <c r="B138" s="27" t="inlineStr">
        <is>
          <t xml:space="preserve">ครั้ง </t>
        </is>
      </c>
      <c r="C138" s="28" t="inlineStr">
        <is>
          <t>เหมา</t>
        </is>
      </c>
      <c r="D138" s="28" t="n">
        <v>30</v>
      </c>
      <c r="E138" s="91" t="n"/>
      <c r="F138" s="91" t="n"/>
      <c r="G138" s="91" t="n"/>
      <c r="H138" s="91" t="n"/>
      <c r="I138" s="91" t="n"/>
      <c r="J138" s="91" t="n"/>
      <c r="K138" s="91" t="n"/>
      <c r="L138" s="91" t="n"/>
      <c r="M138" s="91" t="n"/>
      <c r="N138" s="91" t="n"/>
      <c r="O138" s="91" t="n"/>
      <c r="P138" s="91" t="n"/>
      <c r="Q138" s="91" t="n"/>
      <c r="R138" s="91" t="n"/>
      <c r="S138" s="91" t="n"/>
      <c r="T138" s="91" t="n"/>
      <c r="U138" s="91" t="n"/>
      <c r="V138" s="91" t="n"/>
      <c r="W138" s="91" t="n"/>
      <c r="X138" s="91" t="n"/>
      <c r="Y138" s="91" t="n"/>
      <c r="Z138" s="91" t="n"/>
      <c r="AA138" s="91" t="n"/>
      <c r="AB138" s="91" t="n"/>
      <c r="AC138" s="91" t="n"/>
      <c r="AD138" s="91" t="n"/>
      <c r="AE138" s="91" t="n"/>
      <c r="AF138" s="91" t="n"/>
      <c r="AG138" s="91" t="n"/>
      <c r="AH138" s="91" t="n"/>
      <c r="AI138" s="91" t="n"/>
      <c r="AJ138" s="5">
        <f>SUM(E138:AI138)</f>
        <v/>
      </c>
      <c r="AK138" s="5">
        <f>AJ138*D138</f>
        <v/>
      </c>
    </row>
    <row r="139" ht="24" customHeight="1">
      <c r="A139" s="139" t="inlineStr">
        <is>
          <t xml:space="preserve">   -  เป็นพิธีกร </t>
        </is>
      </c>
      <c r="B139" s="27" t="inlineStr">
        <is>
          <t xml:space="preserve">ครั้ง </t>
        </is>
      </c>
      <c r="C139" s="28" t="inlineStr">
        <is>
          <t>เหมา</t>
        </is>
      </c>
      <c r="D139" s="28" t="n">
        <v>30</v>
      </c>
      <c r="E139" s="91" t="n"/>
      <c r="F139" s="91" t="n"/>
      <c r="G139" s="91" t="n"/>
      <c r="H139" s="91" t="n"/>
      <c r="I139" s="91" t="n"/>
      <c r="J139" s="91" t="n"/>
      <c r="K139" s="91" t="n"/>
      <c r="L139" s="91" t="n"/>
      <c r="M139" s="91" t="n"/>
      <c r="N139" s="91" t="n"/>
      <c r="O139" s="91" t="n"/>
      <c r="P139" s="91" t="n"/>
      <c r="Q139" s="91" t="n"/>
      <c r="R139" s="91" t="n"/>
      <c r="S139" s="91" t="n"/>
      <c r="T139" s="91" t="n"/>
      <c r="U139" s="91" t="n"/>
      <c r="V139" s="91" t="n"/>
      <c r="W139" s="91" t="n"/>
      <c r="X139" s="91" t="n"/>
      <c r="Y139" s="91" t="n"/>
      <c r="Z139" s="91" t="n"/>
      <c r="AA139" s="91" t="n"/>
      <c r="AB139" s="91" t="n"/>
      <c r="AC139" s="91" t="n"/>
      <c r="AD139" s="91" t="n"/>
      <c r="AE139" s="91" t="n"/>
      <c r="AF139" s="91" t="n"/>
      <c r="AG139" s="91" t="n"/>
      <c r="AH139" s="91" t="n"/>
      <c r="AI139" s="91" t="n"/>
      <c r="AJ139" s="5">
        <f>SUM(E139:AI139)</f>
        <v/>
      </c>
      <c r="AK139" s="5">
        <f>AJ139*D139</f>
        <v/>
      </c>
    </row>
    <row r="140" ht="24" customHeight="1">
      <c r="A140" s="69" t="inlineStr">
        <is>
          <t>11. C3 THER / 12 กิจกรรม / AAR</t>
        </is>
      </c>
      <c r="B140" s="14" t="inlineStr">
        <is>
          <t>ครั้ง</t>
        </is>
      </c>
      <c r="C140" s="72" t="inlineStr">
        <is>
          <t>เหมา</t>
        </is>
      </c>
      <c r="D140" s="14" t="n">
        <v>8.58</v>
      </c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5">
        <f>SUM(E140:AI140)</f>
        <v/>
      </c>
      <c r="AK140" s="5">
        <f>AJ140*D140</f>
        <v/>
      </c>
      <c r="AL140" s="90" t="n"/>
      <c r="AM140" s="90" t="n"/>
      <c r="AN140" s="90" t="n"/>
    </row>
    <row r="141" ht="25" customHeight="1">
      <c r="A141" s="748" t="inlineStr">
        <is>
          <t>บริการ</t>
        </is>
      </c>
      <c r="B141" s="749" t="n"/>
      <c r="C141" s="750" t="n"/>
      <c r="D141" s="750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751" t="n"/>
      <c r="AK141" s="752" t="n"/>
    </row>
    <row r="142" ht="25" customHeight="1">
      <c r="A142" s="753" t="inlineStr">
        <is>
          <t>งานธุรการ</t>
        </is>
      </c>
      <c r="B142" s="754" t="n"/>
      <c r="C142" s="755" t="n"/>
      <c r="D142" s="755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751" t="n"/>
      <c r="AK142" s="752" t="n"/>
    </row>
    <row r="143" ht="50" customHeight="1">
      <c r="A143" s="756" t="inlineStr">
        <is>
          <t>1. ลงทะเบียนประชุม ตามที่ได้รับมอบหมาย</t>
        </is>
      </c>
      <c r="B143" s="757" t="inlineStr">
        <is>
          <t>ครั้ง</t>
        </is>
      </c>
      <c r="C143" s="758" t="n">
        <v>30</v>
      </c>
      <c r="D143" s="759">
        <f>C143*0.143</f>
        <v/>
      </c>
      <c r="E143" s="217" t="n"/>
      <c r="F143" s="217" t="n"/>
      <c r="G143" s="217" t="n"/>
      <c r="H143" s="217" t="n"/>
      <c r="I143" s="217" t="n"/>
      <c r="J143" s="217" t="n"/>
      <c r="K143" s="217" t="n"/>
      <c r="L143" s="217" t="n"/>
      <c r="M143" s="217" t="n"/>
      <c r="N143" s="217" t="n"/>
      <c r="O143" s="217" t="n"/>
      <c r="P143" s="217" t="n"/>
      <c r="Q143" s="217" t="n"/>
      <c r="R143" s="217" t="n"/>
      <c r="S143" s="217" t="n"/>
      <c r="T143" s="217" t="n"/>
      <c r="U143" s="217" t="n"/>
      <c r="V143" s="217" t="n"/>
      <c r="W143" s="217" t="n"/>
      <c r="X143" s="217" t="n"/>
      <c r="Y143" s="217" t="n"/>
      <c r="Z143" s="217" t="n"/>
      <c r="AA143" s="217" t="n"/>
      <c r="AB143" s="217" t="n"/>
      <c r="AC143" s="217" t="n"/>
      <c r="AD143" s="217" t="n"/>
      <c r="AE143" s="217" t="n"/>
      <c r="AF143" s="217" t="n"/>
      <c r="AG143" s="220" t="n"/>
      <c r="AH143" s="221" t="n"/>
      <c r="AI143" s="222" t="n"/>
      <c r="AJ143" s="760">
        <f>SUM(E143:AI143)</f>
        <v/>
      </c>
      <c r="AK143" s="760">
        <f>AJ143*D143</f>
        <v/>
      </c>
    </row>
    <row r="144" ht="25" customHeight="1">
      <c r="A144" s="761" t="inlineStr">
        <is>
          <t>2. การรับหนังสือ</t>
        </is>
      </c>
      <c r="B144" s="762" t="n"/>
      <c r="C144" s="763" t="n"/>
      <c r="D144" s="762" t="n"/>
      <c r="E144" s="211" t="n"/>
      <c r="F144" s="211" t="n"/>
      <c r="G144" s="211" t="n"/>
      <c r="H144" s="211" t="n"/>
      <c r="I144" s="211" t="n"/>
      <c r="J144" s="211" t="n"/>
      <c r="K144" s="211" t="n"/>
      <c r="L144" s="211" t="n"/>
      <c r="M144" s="211" t="n"/>
      <c r="N144" s="211" t="n"/>
      <c r="O144" s="211" t="n"/>
      <c r="P144" s="211" t="n"/>
      <c r="Q144" s="211" t="n"/>
      <c r="R144" s="211" t="n"/>
      <c r="S144" s="211" t="n"/>
      <c r="T144" s="211" t="n"/>
      <c r="U144" s="211" t="n"/>
      <c r="V144" s="211" t="n"/>
      <c r="W144" s="211" t="n"/>
      <c r="X144" s="211" t="n"/>
      <c r="Y144" s="211" t="n"/>
      <c r="Z144" s="211" t="n"/>
      <c r="AA144" s="211" t="n"/>
      <c r="AB144" s="211" t="n"/>
      <c r="AC144" s="211" t="n"/>
      <c r="AD144" s="211" t="n"/>
      <c r="AE144" s="211" t="n"/>
      <c r="AF144" s="211" t="n"/>
      <c r="AG144" s="213" t="n"/>
      <c r="AH144" s="213" t="n"/>
      <c r="AI144" s="214" t="n"/>
      <c r="AJ144" s="764" t="n"/>
      <c r="AK144" s="765" t="n"/>
    </row>
    <row r="145" ht="25" customHeight="1">
      <c r="A145" s="756" t="inlineStr">
        <is>
          <t>2.1 รับหนังสือภายในหน่วยงาน</t>
        </is>
      </c>
      <c r="B145" s="757" t="inlineStr">
        <is>
          <t>เรื่อง</t>
        </is>
      </c>
      <c r="C145" s="758" t="n">
        <v>3</v>
      </c>
      <c r="D145" s="759">
        <f>C145*0.143</f>
        <v/>
      </c>
      <c r="E145" s="217" t="n"/>
      <c r="F145" s="217" t="n"/>
      <c r="G145" s="217" t="n"/>
      <c r="H145" s="217" t="n"/>
      <c r="I145" s="217" t="n"/>
      <c r="J145" s="217" t="n"/>
      <c r="K145" s="217" t="n"/>
      <c r="L145" s="217" t="n"/>
      <c r="M145" s="217" t="n"/>
      <c r="N145" s="217" t="n"/>
      <c r="O145" s="217" t="n"/>
      <c r="P145" s="217" t="n"/>
      <c r="Q145" s="217" t="n"/>
      <c r="R145" s="217" t="n"/>
      <c r="S145" s="217" t="n"/>
      <c r="T145" s="217" t="n"/>
      <c r="U145" s="217" t="n"/>
      <c r="V145" s="217" t="n"/>
      <c r="W145" s="217" t="n"/>
      <c r="X145" s="217" t="n"/>
      <c r="Y145" s="217" t="n"/>
      <c r="Z145" s="217" t="n"/>
      <c r="AA145" s="217" t="n"/>
      <c r="AB145" s="217" t="n"/>
      <c r="AC145" s="217" t="n"/>
      <c r="AD145" s="217" t="n"/>
      <c r="AE145" s="217" t="n"/>
      <c r="AF145" s="217" t="n"/>
      <c r="AG145" s="220" t="n"/>
      <c r="AH145" s="221" t="n"/>
      <c r="AI145" s="222" t="n"/>
      <c r="AJ145" s="760">
        <f>SUM(E145:AI145)</f>
        <v/>
      </c>
      <c r="AK145" s="760">
        <f>AJ145*D145</f>
        <v/>
      </c>
    </row>
    <row r="146" ht="25" customHeight="1">
      <c r="A146" s="756" t="inlineStr">
        <is>
          <t>2.2 คัดแยกหนังสือ</t>
        </is>
      </c>
      <c r="B146" s="757" t="inlineStr">
        <is>
          <t>ฉบับ</t>
        </is>
      </c>
      <c r="C146" s="758" t="n">
        <v>3</v>
      </c>
      <c r="D146" s="759">
        <f>C146*0.143</f>
        <v/>
      </c>
      <c r="E146" s="217" t="n"/>
      <c r="F146" s="217" t="n"/>
      <c r="G146" s="217" t="n"/>
      <c r="H146" s="217" t="n"/>
      <c r="I146" s="217" t="n"/>
      <c r="J146" s="217" t="n"/>
      <c r="K146" s="217" t="n"/>
      <c r="L146" s="217" t="n"/>
      <c r="M146" s="217" t="n"/>
      <c r="N146" s="217" t="n"/>
      <c r="O146" s="217" t="n"/>
      <c r="P146" s="217" t="n"/>
      <c r="Q146" s="217" t="n"/>
      <c r="R146" s="217" t="n"/>
      <c r="S146" s="217" t="n"/>
      <c r="T146" s="217" t="n"/>
      <c r="U146" s="217" t="n"/>
      <c r="V146" s="217" t="n"/>
      <c r="W146" s="217" t="n"/>
      <c r="X146" s="217" t="n"/>
      <c r="Y146" s="217" t="n"/>
      <c r="Z146" s="217" t="n"/>
      <c r="AA146" s="217" t="n"/>
      <c r="AB146" s="217" t="n"/>
      <c r="AC146" s="217" t="n"/>
      <c r="AD146" s="217" t="n"/>
      <c r="AE146" s="217" t="n"/>
      <c r="AF146" s="217" t="n"/>
      <c r="AG146" s="220" t="n"/>
      <c r="AH146" s="221" t="n"/>
      <c r="AI146" s="222" t="n"/>
      <c r="AJ146" s="760">
        <f>SUM(E146:AI146)</f>
        <v/>
      </c>
      <c r="AK146" s="760">
        <f>AJ146*D146</f>
        <v/>
      </c>
    </row>
    <row r="147" ht="25" customHeight="1">
      <c r="A147" s="756" t="inlineStr">
        <is>
          <t>2.3 จัดแฟ้มเสนอ</t>
        </is>
      </c>
      <c r="B147" s="757" t="inlineStr">
        <is>
          <t>ฉบับ</t>
        </is>
      </c>
      <c r="C147" s="758" t="n">
        <v>3</v>
      </c>
      <c r="D147" s="759">
        <f>C147*0.143</f>
        <v/>
      </c>
      <c r="E147" s="217" t="n"/>
      <c r="F147" s="217" t="n"/>
      <c r="G147" s="217" t="n"/>
      <c r="H147" s="217" t="n"/>
      <c r="I147" s="217" t="n"/>
      <c r="J147" s="217" t="n"/>
      <c r="K147" s="217" t="n"/>
      <c r="L147" s="217" t="n"/>
      <c r="M147" s="217" t="n"/>
      <c r="N147" s="217" t="n"/>
      <c r="O147" s="217" t="n"/>
      <c r="P147" s="217" t="n"/>
      <c r="Q147" s="217" t="n"/>
      <c r="R147" s="217" t="n"/>
      <c r="S147" s="217" t="n"/>
      <c r="T147" s="217" t="n"/>
      <c r="U147" s="217" t="n"/>
      <c r="V147" s="217" t="n"/>
      <c r="W147" s="217" t="n"/>
      <c r="X147" s="217" t="n"/>
      <c r="Y147" s="217" t="n"/>
      <c r="Z147" s="217" t="n"/>
      <c r="AA147" s="217" t="n"/>
      <c r="AB147" s="217" t="n"/>
      <c r="AC147" s="217" t="n"/>
      <c r="AD147" s="217" t="n"/>
      <c r="AE147" s="217" t="n"/>
      <c r="AF147" s="217" t="n"/>
      <c r="AG147" s="220" t="n"/>
      <c r="AH147" s="221" t="n"/>
      <c r="AI147" s="222" t="n"/>
      <c r="AJ147" s="760">
        <f>SUM(E147:AI147)</f>
        <v/>
      </c>
      <c r="AK147" s="760">
        <f>AJ147*D147</f>
        <v/>
      </c>
    </row>
    <row r="148" ht="25" customHeight="1">
      <c r="A148" s="756" t="inlineStr">
        <is>
          <t>2.4 เกษียนหนังสือ/เวียนหนังสือ</t>
        </is>
      </c>
      <c r="B148" s="757" t="inlineStr">
        <is>
          <t>เรื่อง</t>
        </is>
      </c>
      <c r="C148" s="758" t="n">
        <v>3</v>
      </c>
      <c r="D148" s="759">
        <f>C148*0.143</f>
        <v/>
      </c>
      <c r="E148" s="217" t="n"/>
      <c r="F148" s="217" t="n"/>
      <c r="G148" s="217" t="n"/>
      <c r="H148" s="217" t="n"/>
      <c r="I148" s="217" t="n"/>
      <c r="J148" s="217" t="n"/>
      <c r="K148" s="217" t="n"/>
      <c r="L148" s="217" t="n"/>
      <c r="M148" s="217" t="n"/>
      <c r="N148" s="217" t="n"/>
      <c r="O148" s="217" t="n"/>
      <c r="P148" s="217" t="n"/>
      <c r="Q148" s="217" t="n"/>
      <c r="R148" s="217" t="n"/>
      <c r="S148" s="217" t="n"/>
      <c r="T148" s="217" t="n"/>
      <c r="U148" s="217" t="n"/>
      <c r="V148" s="217" t="n"/>
      <c r="W148" s="217" t="n"/>
      <c r="X148" s="217" t="n"/>
      <c r="Y148" s="217" t="n"/>
      <c r="Z148" s="217" t="n"/>
      <c r="AA148" s="217" t="n"/>
      <c r="AB148" s="217" t="n"/>
      <c r="AC148" s="217" t="n"/>
      <c r="AD148" s="217" t="n"/>
      <c r="AE148" s="217" t="n"/>
      <c r="AF148" s="217" t="n"/>
      <c r="AG148" s="220" t="n"/>
      <c r="AH148" s="221" t="n"/>
      <c r="AI148" s="222" t="n"/>
      <c r="AJ148" s="760">
        <f>SUM(E148:AI148)</f>
        <v/>
      </c>
      <c r="AK148" s="760">
        <f>AJ148*D148</f>
        <v/>
      </c>
    </row>
    <row r="149" ht="25" customHeight="1">
      <c r="A149" s="756" t="inlineStr">
        <is>
          <t>2.5 แจกจ่ายหนังสือ</t>
        </is>
      </c>
      <c r="B149" s="757" t="inlineStr">
        <is>
          <t>ฉบับ</t>
        </is>
      </c>
      <c r="C149" s="758" t="n">
        <v>3</v>
      </c>
      <c r="D149" s="759">
        <f>C149*0.143</f>
        <v/>
      </c>
      <c r="E149" s="217" t="n"/>
      <c r="F149" s="217" t="n"/>
      <c r="G149" s="217" t="n"/>
      <c r="H149" s="217" t="n"/>
      <c r="I149" s="217" t="n"/>
      <c r="J149" s="217" t="n"/>
      <c r="K149" s="217" t="n"/>
      <c r="L149" s="217" t="n"/>
      <c r="M149" s="217" t="n"/>
      <c r="N149" s="217" t="n"/>
      <c r="O149" s="217" t="n"/>
      <c r="P149" s="217" t="n"/>
      <c r="Q149" s="217" t="n"/>
      <c r="R149" s="217" t="n"/>
      <c r="S149" s="217" t="n"/>
      <c r="T149" s="217" t="n"/>
      <c r="U149" s="217" t="n"/>
      <c r="V149" s="217" t="n"/>
      <c r="W149" s="217" t="n"/>
      <c r="X149" s="217" t="n"/>
      <c r="Y149" s="217" t="n"/>
      <c r="Z149" s="217" t="n"/>
      <c r="AA149" s="217" t="n"/>
      <c r="AB149" s="217" t="n"/>
      <c r="AC149" s="217" t="n"/>
      <c r="AD149" s="217" t="n"/>
      <c r="AE149" s="217" t="n"/>
      <c r="AF149" s="217" t="n"/>
      <c r="AG149" s="220" t="n"/>
      <c r="AH149" s="221" t="n"/>
      <c r="AI149" s="222" t="n"/>
      <c r="AJ149" s="760">
        <f>SUM(E149:AI149)</f>
        <v/>
      </c>
      <c r="AK149" s="760">
        <f>AJ149*D149</f>
        <v/>
      </c>
    </row>
    <row r="150" ht="50" customHeight="1">
      <c r="A150" s="756" t="inlineStr">
        <is>
          <t>2.6 การจัดการใบลาต่าง ๆ (จนสิ้นสุดกระบวนการ)</t>
        </is>
      </c>
      <c r="B150" s="757" t="inlineStr">
        <is>
          <t>ฉบับ</t>
        </is>
      </c>
      <c r="C150" s="758" t="n">
        <v>3</v>
      </c>
      <c r="D150" s="759">
        <f>C150*0.143</f>
        <v/>
      </c>
      <c r="E150" s="217" t="n"/>
      <c r="F150" s="217" t="n"/>
      <c r="G150" s="217" t="n"/>
      <c r="H150" s="217" t="n"/>
      <c r="I150" s="217" t="n"/>
      <c r="J150" s="217" t="n"/>
      <c r="K150" s="217" t="n"/>
      <c r="L150" s="217" t="n"/>
      <c r="M150" s="217" t="n"/>
      <c r="N150" s="217" t="n"/>
      <c r="O150" s="217" t="n"/>
      <c r="P150" s="217" t="n"/>
      <c r="Q150" s="217" t="n"/>
      <c r="R150" s="217" t="n"/>
      <c r="S150" s="217" t="n"/>
      <c r="T150" s="217" t="n"/>
      <c r="U150" s="217" t="n"/>
      <c r="V150" s="217" t="n"/>
      <c r="W150" s="217" t="n"/>
      <c r="X150" s="217" t="n"/>
      <c r="Y150" s="217" t="n"/>
      <c r="Z150" s="217" t="n"/>
      <c r="AA150" s="217" t="n"/>
      <c r="AB150" s="217" t="n"/>
      <c r="AC150" s="217" t="n"/>
      <c r="AD150" s="217" t="n"/>
      <c r="AE150" s="217" t="n"/>
      <c r="AF150" s="217" t="n"/>
      <c r="AG150" s="220" t="n"/>
      <c r="AH150" s="221" t="n"/>
      <c r="AI150" s="222" t="n"/>
      <c r="AJ150" s="760">
        <f>SUM(E150:AI150)</f>
        <v/>
      </c>
      <c r="AK150" s="760">
        <f>AJ150*D150</f>
        <v/>
      </c>
    </row>
    <row r="151" ht="25" customHeight="1">
      <c r="A151" s="761" t="inlineStr">
        <is>
          <t>3. การส่งหนังสือ</t>
        </is>
      </c>
      <c r="B151" s="762" t="n"/>
      <c r="C151" s="763" t="n"/>
      <c r="D151" s="762" t="n"/>
      <c r="E151" s="211" t="n"/>
      <c r="F151" s="211" t="n"/>
      <c r="G151" s="211" t="n"/>
      <c r="H151" s="211" t="n"/>
      <c r="I151" s="211" t="n"/>
      <c r="J151" s="211" t="n"/>
      <c r="K151" s="211" t="n"/>
      <c r="L151" s="211" t="n"/>
      <c r="M151" s="211" t="n"/>
      <c r="N151" s="211" t="n"/>
      <c r="O151" s="211" t="n"/>
      <c r="P151" s="211" t="n"/>
      <c r="Q151" s="211" t="n"/>
      <c r="R151" s="211" t="n"/>
      <c r="S151" s="211" t="n"/>
      <c r="T151" s="211" t="n"/>
      <c r="U151" s="211" t="n"/>
      <c r="V151" s="211" t="n"/>
      <c r="W151" s="211" t="n"/>
      <c r="X151" s="211" t="n"/>
      <c r="Y151" s="211" t="n"/>
      <c r="Z151" s="211" t="n"/>
      <c r="AA151" s="211" t="n"/>
      <c r="AB151" s="211" t="n"/>
      <c r="AC151" s="211" t="n"/>
      <c r="AD151" s="211" t="n"/>
      <c r="AE151" s="211" t="n"/>
      <c r="AF151" s="211" t="n"/>
      <c r="AG151" s="213" t="n"/>
      <c r="AH151" s="213" t="n"/>
      <c r="AI151" s="214" t="n"/>
      <c r="AJ151" s="764" t="n"/>
      <c r="AK151" s="765" t="n"/>
    </row>
    <row r="152" ht="25" customHeight="1">
      <c r="A152" s="756" t="inlineStr">
        <is>
          <t>3.1 การขอออกเลขส่งหนังสือ</t>
        </is>
      </c>
      <c r="B152" s="757" t="inlineStr">
        <is>
          <t>ฉบับ</t>
        </is>
      </c>
      <c r="C152" s="758" t="n">
        <v>5</v>
      </c>
      <c r="D152" s="759">
        <f>C152*0.143</f>
        <v/>
      </c>
      <c r="E152" s="217" t="n"/>
      <c r="F152" s="217" t="n"/>
      <c r="G152" s="217" t="n"/>
      <c r="H152" s="217" t="n"/>
      <c r="I152" s="217" t="n"/>
      <c r="J152" s="217" t="n"/>
      <c r="K152" s="217" t="n"/>
      <c r="L152" s="217" t="n"/>
      <c r="M152" s="217" t="n"/>
      <c r="N152" s="217" t="n"/>
      <c r="O152" s="217" t="n"/>
      <c r="P152" s="217" t="n"/>
      <c r="Q152" s="217" t="n"/>
      <c r="R152" s="217" t="n"/>
      <c r="S152" s="217" t="n"/>
      <c r="T152" s="217" t="n"/>
      <c r="U152" s="217" t="n"/>
      <c r="V152" s="217" t="n"/>
      <c r="W152" s="217" t="n"/>
      <c r="X152" s="217" t="n"/>
      <c r="Y152" s="217" t="n"/>
      <c r="Z152" s="217" t="n"/>
      <c r="AA152" s="217" t="n"/>
      <c r="AB152" s="217" t="n"/>
      <c r="AC152" s="217" t="n"/>
      <c r="AD152" s="217" t="n"/>
      <c r="AE152" s="217" t="n"/>
      <c r="AF152" s="217" t="n"/>
      <c r="AG152" s="220" t="n"/>
      <c r="AH152" s="221" t="n"/>
      <c r="AI152" s="222" t="n"/>
      <c r="AJ152" s="760">
        <f>SUM(E152:AI152)</f>
        <v/>
      </c>
      <c r="AK152" s="760">
        <f>AJ152*D152</f>
        <v/>
      </c>
    </row>
    <row r="153" ht="50" customHeight="1">
      <c r="A153" s="756" t="inlineStr">
        <is>
          <t>3.2 การส่งหนังสือระหว่างหน่วยงานภายใน รพ.ฯ</t>
        </is>
      </c>
      <c r="B153" s="757" t="inlineStr">
        <is>
          <t>เรื่อง</t>
        </is>
      </c>
      <c r="C153" s="758" t="n">
        <v>10</v>
      </c>
      <c r="D153" s="759">
        <f>C153*0.143</f>
        <v/>
      </c>
      <c r="E153" s="217" t="n"/>
      <c r="F153" s="217" t="n"/>
      <c r="G153" s="217" t="n"/>
      <c r="H153" s="217" t="n"/>
      <c r="I153" s="217" t="n"/>
      <c r="J153" s="217" t="n"/>
      <c r="K153" s="217" t="n"/>
      <c r="L153" s="217" t="n"/>
      <c r="M153" s="217" t="n"/>
      <c r="N153" s="217" t="n"/>
      <c r="O153" s="217" t="n"/>
      <c r="P153" s="217" t="n"/>
      <c r="Q153" s="217" t="n"/>
      <c r="R153" s="217" t="n"/>
      <c r="S153" s="217" t="n"/>
      <c r="T153" s="217" t="n"/>
      <c r="U153" s="217" t="n"/>
      <c r="V153" s="217" t="n"/>
      <c r="W153" s="217" t="n"/>
      <c r="X153" s="217" t="n"/>
      <c r="Y153" s="217" t="n"/>
      <c r="Z153" s="217" t="n"/>
      <c r="AA153" s="217" t="n"/>
      <c r="AB153" s="217" t="n"/>
      <c r="AC153" s="217" t="n"/>
      <c r="AD153" s="217" t="n"/>
      <c r="AE153" s="217" t="n"/>
      <c r="AF153" s="217" t="n"/>
      <c r="AG153" s="220" t="n"/>
      <c r="AH153" s="221" t="n"/>
      <c r="AI153" s="222" t="n"/>
      <c r="AJ153" s="760">
        <f>SUM(E153:AI153)</f>
        <v/>
      </c>
      <c r="AK153" s="760">
        <f>AJ153*D153</f>
        <v/>
      </c>
    </row>
    <row r="154" ht="50" customHeight="1">
      <c r="A154" s="756" t="inlineStr">
        <is>
          <t>3.3 การส่งหนังสือระหว่างหน่วยงานภายนอก รพ.ฯ</t>
        </is>
      </c>
      <c r="B154" s="757" t="inlineStr">
        <is>
          <t>เรื่อง</t>
        </is>
      </c>
      <c r="C154" s="758" t="n">
        <v>20</v>
      </c>
      <c r="D154" s="759">
        <f>C154*0.143</f>
        <v/>
      </c>
      <c r="E154" s="217" t="n"/>
      <c r="F154" s="217" t="n"/>
      <c r="G154" s="217" t="n"/>
      <c r="H154" s="217" t="n"/>
      <c r="I154" s="217" t="n"/>
      <c r="J154" s="217" t="n"/>
      <c r="K154" s="217" t="n"/>
      <c r="L154" s="217" t="n"/>
      <c r="M154" s="217" t="n"/>
      <c r="N154" s="217" t="n"/>
      <c r="O154" s="217" t="n"/>
      <c r="P154" s="217" t="n"/>
      <c r="Q154" s="217" t="n"/>
      <c r="R154" s="217" t="n"/>
      <c r="S154" s="217" t="n"/>
      <c r="T154" s="217" t="n"/>
      <c r="U154" s="217" t="n"/>
      <c r="V154" s="217" t="n"/>
      <c r="W154" s="217" t="n"/>
      <c r="X154" s="217" t="n"/>
      <c r="Y154" s="217" t="n"/>
      <c r="Z154" s="217" t="n"/>
      <c r="AA154" s="217" t="n"/>
      <c r="AB154" s="217" t="n"/>
      <c r="AC154" s="217" t="n"/>
      <c r="AD154" s="217" t="n"/>
      <c r="AE154" s="217" t="n"/>
      <c r="AF154" s="217" t="n"/>
      <c r="AG154" s="220" t="n"/>
      <c r="AH154" s="221" t="n"/>
      <c r="AI154" s="222" t="n"/>
      <c r="AJ154" s="760">
        <f>SUM(E154:AI154)</f>
        <v/>
      </c>
      <c r="AK154" s="760">
        <f>AJ154*D154</f>
        <v/>
      </c>
    </row>
    <row r="155" ht="25" customHeight="1">
      <c r="A155" s="761" t="inlineStr">
        <is>
          <t>4. การพิมพ์หนังสือ</t>
        </is>
      </c>
      <c r="B155" s="762" t="n"/>
      <c r="C155" s="763" t="n"/>
      <c r="D155" s="762" t="n"/>
      <c r="E155" s="211" t="n"/>
      <c r="F155" s="211" t="n"/>
      <c r="G155" s="211" t="n"/>
      <c r="H155" s="211" t="n"/>
      <c r="I155" s="211" t="n"/>
      <c r="J155" s="211" t="n"/>
      <c r="K155" s="211" t="n"/>
      <c r="L155" s="211" t="n"/>
      <c r="M155" s="211" t="n"/>
      <c r="N155" s="211" t="n"/>
      <c r="O155" s="211" t="n"/>
      <c r="P155" s="211" t="n"/>
      <c r="Q155" s="211" t="n"/>
      <c r="R155" s="211" t="n"/>
      <c r="S155" s="211" t="n"/>
      <c r="T155" s="211" t="n"/>
      <c r="U155" s="211" t="n"/>
      <c r="V155" s="211" t="n"/>
      <c r="W155" s="211" t="n"/>
      <c r="X155" s="211" t="n"/>
      <c r="Y155" s="211" t="n"/>
      <c r="Z155" s="211" t="n"/>
      <c r="AA155" s="211" t="n"/>
      <c r="AB155" s="211" t="n"/>
      <c r="AC155" s="211" t="n"/>
      <c r="AD155" s="211" t="n"/>
      <c r="AE155" s="211" t="n"/>
      <c r="AF155" s="211" t="n"/>
      <c r="AG155" s="213" t="n"/>
      <c r="AH155" s="213" t="n"/>
      <c r="AI155" s="214" t="n"/>
      <c r="AJ155" s="764" t="n"/>
      <c r="AK155" s="765" t="n"/>
    </row>
    <row r="156" ht="25" customHeight="1">
      <c r="A156" s="756" t="inlineStr">
        <is>
          <t>4.1 หนังสือภายใน</t>
        </is>
      </c>
      <c r="B156" s="757" t="inlineStr">
        <is>
          <t>เรื่อง</t>
        </is>
      </c>
      <c r="C156" s="758" t="n">
        <v>20</v>
      </c>
      <c r="D156" s="759">
        <f>C156*0.143</f>
        <v/>
      </c>
      <c r="E156" s="217" t="n"/>
      <c r="F156" s="217" t="n"/>
      <c r="G156" s="217" t="n"/>
      <c r="H156" s="217" t="n"/>
      <c r="I156" s="217" t="n"/>
      <c r="J156" s="217" t="n"/>
      <c r="K156" s="217" t="n"/>
      <c r="L156" s="217" t="n"/>
      <c r="M156" s="217" t="n"/>
      <c r="N156" s="217" t="n"/>
      <c r="O156" s="217" t="n"/>
      <c r="P156" s="217" t="n"/>
      <c r="Q156" s="217" t="n"/>
      <c r="R156" s="217" t="n"/>
      <c r="S156" s="217" t="n"/>
      <c r="T156" s="217" t="n"/>
      <c r="U156" s="217" t="n"/>
      <c r="V156" s="217" t="n"/>
      <c r="W156" s="217" t="n"/>
      <c r="X156" s="217" t="n"/>
      <c r="Y156" s="217" t="n"/>
      <c r="Z156" s="217" t="n"/>
      <c r="AA156" s="217" t="n"/>
      <c r="AB156" s="217" t="n"/>
      <c r="AC156" s="217" t="n"/>
      <c r="AD156" s="217" t="n"/>
      <c r="AE156" s="217" t="n"/>
      <c r="AF156" s="217" t="n"/>
      <c r="AG156" s="220" t="n"/>
      <c r="AH156" s="221" t="n"/>
      <c r="AI156" s="222" t="n"/>
      <c r="AJ156" s="760">
        <f>SUM(E156:AI156)</f>
        <v/>
      </c>
      <c r="AK156" s="760">
        <f>AJ156*D156</f>
        <v/>
      </c>
    </row>
    <row r="157" ht="25" customHeight="1">
      <c r="A157" s="756" t="inlineStr">
        <is>
          <t>4.2 หนังสือภายนอก</t>
        </is>
      </c>
      <c r="B157" s="757" t="inlineStr">
        <is>
          <t>เรื่อง</t>
        </is>
      </c>
      <c r="C157" s="758" t="n">
        <v>25</v>
      </c>
      <c r="D157" s="759">
        <f>C157*0.143</f>
        <v/>
      </c>
      <c r="E157" s="217" t="n"/>
      <c r="F157" s="217" t="n"/>
      <c r="G157" s="217" t="n"/>
      <c r="H157" s="217" t="n"/>
      <c r="I157" s="217" t="n"/>
      <c r="J157" s="217" t="n"/>
      <c r="K157" s="217" t="n"/>
      <c r="L157" s="217" t="n"/>
      <c r="M157" s="217" t="n"/>
      <c r="N157" s="217" t="n"/>
      <c r="O157" s="217" t="n"/>
      <c r="P157" s="217" t="n"/>
      <c r="Q157" s="217" t="n"/>
      <c r="R157" s="217" t="n"/>
      <c r="S157" s="217" t="n"/>
      <c r="T157" s="217" t="n"/>
      <c r="U157" s="217" t="n"/>
      <c r="V157" s="217" t="n"/>
      <c r="W157" s="217" t="n"/>
      <c r="X157" s="217" t="n"/>
      <c r="Y157" s="217" t="n"/>
      <c r="Z157" s="217" t="n"/>
      <c r="AA157" s="217" t="n"/>
      <c r="AB157" s="217" t="n"/>
      <c r="AC157" s="217" t="n"/>
      <c r="AD157" s="217" t="n"/>
      <c r="AE157" s="217" t="n"/>
      <c r="AF157" s="217" t="n"/>
      <c r="AG157" s="220" t="n"/>
      <c r="AH157" s="221" t="n"/>
      <c r="AI157" s="222" t="n"/>
      <c r="AJ157" s="760">
        <f>SUM(E157:AI157)</f>
        <v/>
      </c>
      <c r="AK157" s="760">
        <f>AJ157*D157</f>
        <v/>
      </c>
    </row>
    <row r="158" ht="25" customHeight="1">
      <c r="A158" s="756" t="inlineStr">
        <is>
          <t>4.3 ระเบียบ</t>
        </is>
      </c>
      <c r="B158" s="757" t="inlineStr">
        <is>
          <t>เรื่อง</t>
        </is>
      </c>
      <c r="C158" s="758" t="n">
        <v>30</v>
      </c>
      <c r="D158" s="759">
        <f>C158*0.143</f>
        <v/>
      </c>
      <c r="E158" s="217" t="n"/>
      <c r="F158" s="217" t="n"/>
      <c r="G158" s="217" t="n"/>
      <c r="H158" s="217" t="n"/>
      <c r="I158" s="217" t="n"/>
      <c r="J158" s="217" t="n"/>
      <c r="K158" s="217" t="n"/>
      <c r="L158" s="217" t="n"/>
      <c r="M158" s="217" t="n"/>
      <c r="N158" s="217" t="n"/>
      <c r="O158" s="217" t="n"/>
      <c r="P158" s="217" t="n"/>
      <c r="Q158" s="217" t="n"/>
      <c r="R158" s="217" t="n"/>
      <c r="S158" s="217" t="n"/>
      <c r="T158" s="217" t="n"/>
      <c r="U158" s="217" t="n"/>
      <c r="V158" s="217" t="n"/>
      <c r="W158" s="217" t="n"/>
      <c r="X158" s="217" t="n"/>
      <c r="Y158" s="217" t="n"/>
      <c r="Z158" s="217" t="n"/>
      <c r="AA158" s="217" t="n"/>
      <c r="AB158" s="217" t="n"/>
      <c r="AC158" s="217" t="n"/>
      <c r="AD158" s="217" t="n"/>
      <c r="AE158" s="217" t="n"/>
      <c r="AF158" s="217" t="n"/>
      <c r="AG158" s="220" t="n"/>
      <c r="AH158" s="221" t="n"/>
      <c r="AI158" s="222" t="n"/>
      <c r="AJ158" s="760">
        <f>SUM(E158:AI158)</f>
        <v/>
      </c>
      <c r="AK158" s="760">
        <f>AJ158*D158</f>
        <v/>
      </c>
    </row>
    <row r="159" ht="25" customHeight="1">
      <c r="A159" s="756" t="inlineStr">
        <is>
          <t>4.4 คำสั่ง</t>
        </is>
      </c>
      <c r="B159" s="757" t="inlineStr">
        <is>
          <t>เรื่อง</t>
        </is>
      </c>
      <c r="C159" s="758" t="n">
        <v>15</v>
      </c>
      <c r="D159" s="759">
        <f>C159*0.143</f>
        <v/>
      </c>
      <c r="E159" s="217" t="n"/>
      <c r="F159" s="217" t="n"/>
      <c r="G159" s="217" t="n"/>
      <c r="H159" s="217" t="n"/>
      <c r="I159" s="217" t="n"/>
      <c r="J159" s="217" t="n"/>
      <c r="K159" s="217" t="n"/>
      <c r="L159" s="217" t="n"/>
      <c r="M159" s="217" t="n"/>
      <c r="N159" s="217" t="n"/>
      <c r="O159" s="217" t="n"/>
      <c r="P159" s="217" t="n"/>
      <c r="Q159" s="217" t="n"/>
      <c r="R159" s="217" t="n"/>
      <c r="S159" s="217" t="n"/>
      <c r="T159" s="217" t="n"/>
      <c r="U159" s="217" t="n"/>
      <c r="V159" s="217" t="n"/>
      <c r="W159" s="217" t="n"/>
      <c r="X159" s="217" t="n"/>
      <c r="Y159" s="217" t="n"/>
      <c r="Z159" s="217" t="n"/>
      <c r="AA159" s="217" t="n"/>
      <c r="AB159" s="217" t="n"/>
      <c r="AC159" s="217" t="n"/>
      <c r="AD159" s="217" t="n"/>
      <c r="AE159" s="217" t="n"/>
      <c r="AF159" s="217" t="n"/>
      <c r="AG159" s="220" t="n"/>
      <c r="AH159" s="221" t="n"/>
      <c r="AI159" s="222" t="n"/>
      <c r="AJ159" s="760">
        <f>SUM(E159:AI159)</f>
        <v/>
      </c>
      <c r="AK159" s="760">
        <f>AJ159*D159</f>
        <v/>
      </c>
    </row>
    <row r="160" ht="25" customHeight="1">
      <c r="A160" s="756" t="inlineStr">
        <is>
          <t>4.5 พิมพ์หนังสือตามแบบฟอร์ม</t>
        </is>
      </c>
      <c r="B160" s="757" t="inlineStr">
        <is>
          <t>เรื่อง</t>
        </is>
      </c>
      <c r="C160" s="758" t="n">
        <v>10</v>
      </c>
      <c r="D160" s="759">
        <f>C160*0.143</f>
        <v/>
      </c>
      <c r="E160" s="217" t="n"/>
      <c r="F160" s="217" t="n"/>
      <c r="G160" s="217" t="n"/>
      <c r="H160" s="217" t="n"/>
      <c r="I160" s="217" t="n"/>
      <c r="J160" s="217" t="n"/>
      <c r="K160" s="217" t="n"/>
      <c r="L160" s="217" t="n"/>
      <c r="M160" s="217" t="n"/>
      <c r="N160" s="217" t="n"/>
      <c r="O160" s="217" t="n"/>
      <c r="P160" s="217" t="n"/>
      <c r="Q160" s="217" t="n"/>
      <c r="R160" s="217" t="n"/>
      <c r="S160" s="217" t="n"/>
      <c r="T160" s="217" t="n"/>
      <c r="U160" s="217" t="n"/>
      <c r="V160" s="217" t="n"/>
      <c r="W160" s="217" t="n"/>
      <c r="X160" s="217" t="n"/>
      <c r="Y160" s="217" t="n"/>
      <c r="Z160" s="217" t="n"/>
      <c r="AA160" s="217" t="n"/>
      <c r="AB160" s="217" t="n"/>
      <c r="AC160" s="217" t="n"/>
      <c r="AD160" s="217" t="n"/>
      <c r="AE160" s="217" t="n"/>
      <c r="AF160" s="217" t="n"/>
      <c r="AG160" s="220" t="n"/>
      <c r="AH160" s="221" t="n"/>
      <c r="AI160" s="222" t="n"/>
      <c r="AJ160" s="760">
        <f>SUM(E160:AI160)</f>
        <v/>
      </c>
      <c r="AK160" s="760">
        <f>AJ160*D160</f>
        <v/>
      </c>
    </row>
    <row r="161" ht="50" customHeight="1">
      <c r="A161" s="756" t="inlineStr">
        <is>
          <t>4.6 หนังสือที่เจ้าหน้าที่จัดทำขึ้นฯ(หนังสือรับรอง บันทึก)</t>
        </is>
      </c>
      <c r="B161" s="757" t="inlineStr">
        <is>
          <t>เรื่อง</t>
        </is>
      </c>
      <c r="C161" s="758" t="n">
        <v>10</v>
      </c>
      <c r="D161" s="759">
        <f>C161*0.143</f>
        <v/>
      </c>
      <c r="E161" s="217" t="n"/>
      <c r="F161" s="217" t="n"/>
      <c r="G161" s="217" t="n"/>
      <c r="H161" s="217" t="n"/>
      <c r="I161" s="217" t="n"/>
      <c r="J161" s="217" t="n"/>
      <c r="K161" s="217" t="n"/>
      <c r="L161" s="217" t="n"/>
      <c r="M161" s="217" t="n"/>
      <c r="N161" s="217" t="n"/>
      <c r="O161" s="217" t="n"/>
      <c r="P161" s="217" t="n"/>
      <c r="Q161" s="217" t="n"/>
      <c r="R161" s="217" t="n"/>
      <c r="S161" s="217" t="n"/>
      <c r="T161" s="217" t="n"/>
      <c r="U161" s="217" t="n"/>
      <c r="V161" s="217" t="n"/>
      <c r="W161" s="217" t="n"/>
      <c r="X161" s="217" t="n"/>
      <c r="Y161" s="217" t="n"/>
      <c r="Z161" s="217" t="n"/>
      <c r="AA161" s="217" t="n"/>
      <c r="AB161" s="217" t="n"/>
      <c r="AC161" s="217" t="n"/>
      <c r="AD161" s="217" t="n"/>
      <c r="AE161" s="217" t="n"/>
      <c r="AF161" s="217" t="n"/>
      <c r="AG161" s="220" t="n"/>
      <c r="AH161" s="221" t="n"/>
      <c r="AI161" s="222" t="n"/>
      <c r="AJ161" s="760">
        <f>SUM(E161:AI161)</f>
        <v/>
      </c>
      <c r="AK161" s="760">
        <f>AJ161*D161</f>
        <v/>
      </c>
    </row>
    <row r="162" ht="50" customHeight="1">
      <c r="A162" s="756" t="inlineStr">
        <is>
          <t>4.7 พิมพ์ชื่อ-ที่อยู่ ซอง การ์ดต่างๆ</t>
        </is>
      </c>
      <c r="B162" s="757" t="inlineStr">
        <is>
          <t>ฉบับ</t>
        </is>
      </c>
      <c r="C162" s="758" t="n">
        <v>3</v>
      </c>
      <c r="D162" s="759">
        <f>C162*0.143</f>
        <v/>
      </c>
      <c r="E162" s="217" t="n"/>
      <c r="F162" s="217" t="n"/>
      <c r="G162" s="217" t="n"/>
      <c r="H162" s="217" t="n"/>
      <c r="I162" s="217" t="n"/>
      <c r="J162" s="217" t="n"/>
      <c r="K162" s="217" t="n"/>
      <c r="L162" s="217" t="n"/>
      <c r="M162" s="217" t="n"/>
      <c r="N162" s="217" t="n"/>
      <c r="O162" s="217" t="n"/>
      <c r="P162" s="217" t="n"/>
      <c r="Q162" s="217" t="n"/>
      <c r="R162" s="217" t="n"/>
      <c r="S162" s="217" t="n"/>
      <c r="T162" s="217" t="n"/>
      <c r="U162" s="217" t="n"/>
      <c r="V162" s="217" t="n"/>
      <c r="W162" s="217" t="n"/>
      <c r="X162" s="217" t="n"/>
      <c r="Y162" s="217" t="n"/>
      <c r="Z162" s="217" t="n"/>
      <c r="AA162" s="217" t="n"/>
      <c r="AB162" s="217" t="n"/>
      <c r="AC162" s="217" t="n"/>
      <c r="AD162" s="217" t="n"/>
      <c r="AE162" s="217" t="n"/>
      <c r="AF162" s="217" t="n"/>
      <c r="AG162" s="220" t="n"/>
      <c r="AH162" s="221" t="n"/>
      <c r="AI162" s="222" t="n"/>
      <c r="AJ162" s="760">
        <f>SUM(E162:AI162)</f>
        <v/>
      </c>
      <c r="AK162" s="760">
        <f>AJ162*D162</f>
        <v/>
      </c>
    </row>
    <row r="163" ht="25" customHeight="1">
      <c r="A163" s="756" t="inlineStr">
        <is>
          <t>4.8 ส่งไปรษณีย์ภายใน รพ.</t>
        </is>
      </c>
      <c r="B163" s="757" t="inlineStr">
        <is>
          <t>วัน</t>
        </is>
      </c>
      <c r="C163" s="758" t="n">
        <v>15</v>
      </c>
      <c r="D163" s="759">
        <f>C163*0.143</f>
        <v/>
      </c>
      <c r="E163" s="217" t="n"/>
      <c r="F163" s="217" t="n"/>
      <c r="G163" s="217" t="n"/>
      <c r="H163" s="217" t="n"/>
      <c r="I163" s="217" t="n"/>
      <c r="J163" s="217" t="n"/>
      <c r="K163" s="217" t="n"/>
      <c r="L163" s="217" t="n"/>
      <c r="M163" s="217" t="n"/>
      <c r="N163" s="217" t="n"/>
      <c r="O163" s="217" t="n"/>
      <c r="P163" s="217" t="n"/>
      <c r="Q163" s="217" t="n"/>
      <c r="R163" s="217" t="n"/>
      <c r="S163" s="217" t="n"/>
      <c r="T163" s="217" t="n"/>
      <c r="U163" s="217" t="n"/>
      <c r="V163" s="217" t="n"/>
      <c r="W163" s="217" t="n"/>
      <c r="X163" s="217" t="n"/>
      <c r="Y163" s="217" t="n"/>
      <c r="Z163" s="217" t="n"/>
      <c r="AA163" s="217" t="n"/>
      <c r="AB163" s="217" t="n"/>
      <c r="AC163" s="217" t="n"/>
      <c r="AD163" s="217" t="n"/>
      <c r="AE163" s="217" t="n"/>
      <c r="AF163" s="217" t="n"/>
      <c r="AG163" s="220" t="n"/>
      <c r="AH163" s="221" t="n"/>
      <c r="AI163" s="222" t="n"/>
      <c r="AJ163" s="760">
        <f>SUM(E163:AI163)</f>
        <v/>
      </c>
      <c r="AK163" s="760">
        <f>AJ163*D163</f>
        <v/>
      </c>
    </row>
    <row r="164" ht="25" customHeight="1">
      <c r="A164" s="756" t="inlineStr">
        <is>
          <t>4.9 ส่งไปรษณีย์นอก รพ.</t>
        </is>
      </c>
      <c r="B164" s="757" t="inlineStr">
        <is>
          <t>วัน</t>
        </is>
      </c>
      <c r="C164" s="758" t="n">
        <v>180</v>
      </c>
      <c r="D164" s="759">
        <f>C164*0.143</f>
        <v/>
      </c>
      <c r="E164" s="217" t="n"/>
      <c r="F164" s="217" t="n"/>
      <c r="G164" s="217" t="n"/>
      <c r="H164" s="217" t="n"/>
      <c r="I164" s="217" t="n"/>
      <c r="J164" s="217" t="n"/>
      <c r="K164" s="217" t="n"/>
      <c r="L164" s="217" t="n"/>
      <c r="M164" s="217" t="n"/>
      <c r="N164" s="217" t="n"/>
      <c r="O164" s="217" t="n"/>
      <c r="P164" s="217" t="n"/>
      <c r="Q164" s="217" t="n"/>
      <c r="R164" s="217" t="n"/>
      <c r="S164" s="217" t="n"/>
      <c r="T164" s="217" t="n"/>
      <c r="U164" s="217" t="n"/>
      <c r="V164" s="217" t="n"/>
      <c r="W164" s="217" t="n"/>
      <c r="X164" s="217" t="n"/>
      <c r="Y164" s="217" t="n"/>
      <c r="Z164" s="217" t="n"/>
      <c r="AA164" s="217" t="n"/>
      <c r="AB164" s="217" t="n"/>
      <c r="AC164" s="217" t="n"/>
      <c r="AD164" s="217" t="n"/>
      <c r="AE164" s="217" t="n"/>
      <c r="AF164" s="217" t="n"/>
      <c r="AG164" s="220" t="n"/>
      <c r="AH164" s="221" t="n"/>
      <c r="AI164" s="222" t="n"/>
      <c r="AJ164" s="760">
        <f>SUM(E164:AI164)</f>
        <v/>
      </c>
      <c r="AK164" s="760">
        <f>AJ164*D164</f>
        <v/>
      </c>
    </row>
    <row r="165" ht="50" customHeight="1">
      <c r="A165" s="756" t="inlineStr">
        <is>
          <t>5. การค้นหาหนังสือราชการ/เอกสารอื่น</t>
        </is>
      </c>
      <c r="B165" s="757" t="inlineStr">
        <is>
          <t>ฉบับ</t>
        </is>
      </c>
      <c r="C165" s="758" t="n">
        <v>5</v>
      </c>
      <c r="D165" s="759">
        <f>C165*0.143</f>
        <v/>
      </c>
      <c r="E165" s="217" t="n"/>
      <c r="F165" s="217" t="n"/>
      <c r="G165" s="217" t="n"/>
      <c r="H165" s="217" t="n"/>
      <c r="I165" s="217" t="n"/>
      <c r="J165" s="217" t="n"/>
      <c r="K165" s="217" t="n"/>
      <c r="L165" s="217" t="n"/>
      <c r="M165" s="217" t="n"/>
      <c r="N165" s="217" t="n"/>
      <c r="O165" s="217" t="n"/>
      <c r="P165" s="217" t="n"/>
      <c r="Q165" s="217" t="n"/>
      <c r="R165" s="217" t="n"/>
      <c r="S165" s="217" t="n"/>
      <c r="T165" s="217" t="n"/>
      <c r="U165" s="217" t="n"/>
      <c r="V165" s="217" t="n"/>
      <c r="W165" s="217" t="n"/>
      <c r="X165" s="217" t="n"/>
      <c r="Y165" s="217" t="n"/>
      <c r="Z165" s="217" t="n"/>
      <c r="AA165" s="217" t="n"/>
      <c r="AB165" s="217" t="n"/>
      <c r="AC165" s="217" t="n"/>
      <c r="AD165" s="217" t="n"/>
      <c r="AE165" s="217" t="n"/>
      <c r="AF165" s="217" t="n"/>
      <c r="AG165" s="220" t="n"/>
      <c r="AH165" s="221" t="n"/>
      <c r="AI165" s="222" t="n"/>
      <c r="AJ165" s="760">
        <f>SUM(E165:AI165)</f>
        <v/>
      </c>
      <c r="AK165" s="760">
        <f>AJ165*D165</f>
        <v/>
      </c>
    </row>
    <row r="166" ht="25" customHeight="1">
      <c r="A166" s="756" t="inlineStr">
        <is>
          <t>6. การถ่ายเอกสาร/การสำเนาเอกสาร</t>
        </is>
      </c>
      <c r="B166" s="757" t="inlineStr">
        <is>
          <t>เรื่อง</t>
        </is>
      </c>
      <c r="C166" s="758" t="n">
        <v>5</v>
      </c>
      <c r="D166" s="759">
        <f>C166*0.143</f>
        <v/>
      </c>
      <c r="E166" s="217" t="n"/>
      <c r="F166" s="217" t="n"/>
      <c r="G166" s="217" t="n"/>
      <c r="H166" s="217" t="n"/>
      <c r="I166" s="217" t="n"/>
      <c r="J166" s="217" t="n"/>
      <c r="K166" s="217" t="n"/>
      <c r="L166" s="217" t="n"/>
      <c r="M166" s="217" t="n"/>
      <c r="N166" s="217" t="n"/>
      <c r="O166" s="217" t="n"/>
      <c r="P166" s="217" t="n"/>
      <c r="Q166" s="217" t="n"/>
      <c r="R166" s="217" t="n"/>
      <c r="S166" s="217" t="n"/>
      <c r="T166" s="217" t="n"/>
      <c r="U166" s="217" t="n"/>
      <c r="V166" s="217" t="n"/>
      <c r="W166" s="217" t="n"/>
      <c r="X166" s="217" t="n"/>
      <c r="Y166" s="217" t="n"/>
      <c r="Z166" s="217" t="n"/>
      <c r="AA166" s="217" t="n"/>
      <c r="AB166" s="217" t="n"/>
      <c r="AC166" s="217" t="n"/>
      <c r="AD166" s="217" t="n"/>
      <c r="AE166" s="217" t="n"/>
      <c r="AF166" s="217" t="n"/>
      <c r="AG166" s="220" t="n"/>
      <c r="AH166" s="221" t="n"/>
      <c r="AI166" s="222" t="n"/>
      <c r="AJ166" s="760">
        <f>SUM(E166:AI166)</f>
        <v/>
      </c>
      <c r="AK166" s="760">
        <f>AJ166*D166</f>
        <v/>
      </c>
    </row>
    <row r="167" ht="25" customHeight="1">
      <c r="A167" s="756" t="inlineStr">
        <is>
          <t>7. การสแกนเอกสาร/ทำไฟล์แยกหมวดหมู่</t>
        </is>
      </c>
      <c r="B167" s="757" t="inlineStr">
        <is>
          <t>เรื่อง</t>
        </is>
      </c>
      <c r="C167" s="758" t="n">
        <v>5</v>
      </c>
      <c r="D167" s="759">
        <f>C167*0.143</f>
        <v/>
      </c>
      <c r="E167" s="217" t="n"/>
      <c r="F167" s="217" t="n"/>
      <c r="G167" s="217" t="n"/>
      <c r="H167" s="217" t="n"/>
      <c r="I167" s="217" t="n"/>
      <c r="J167" s="217" t="n"/>
      <c r="K167" s="217" t="n"/>
      <c r="L167" s="217" t="n"/>
      <c r="M167" s="217" t="n"/>
      <c r="N167" s="217" t="n"/>
      <c r="O167" s="217" t="n"/>
      <c r="P167" s="217" t="n"/>
      <c r="Q167" s="217" t="n"/>
      <c r="R167" s="217" t="n"/>
      <c r="S167" s="217" t="n"/>
      <c r="T167" s="217" t="n"/>
      <c r="U167" s="217" t="n"/>
      <c r="V167" s="217" t="n"/>
      <c r="W167" s="217" t="n"/>
      <c r="X167" s="217" t="n"/>
      <c r="Y167" s="217" t="n"/>
      <c r="Z167" s="217" t="n"/>
      <c r="AA167" s="217" t="n"/>
      <c r="AB167" s="217" t="n"/>
      <c r="AC167" s="217" t="n"/>
      <c r="AD167" s="217" t="n"/>
      <c r="AE167" s="217" t="n"/>
      <c r="AF167" s="217" t="n"/>
      <c r="AG167" s="220" t="n"/>
      <c r="AH167" s="221" t="n"/>
      <c r="AI167" s="222" t="n"/>
      <c r="AJ167" s="760">
        <f>SUM(E167:AI167)</f>
        <v/>
      </c>
      <c r="AK167" s="760">
        <f>AJ167*D167</f>
        <v/>
      </c>
    </row>
    <row r="168" ht="25" customHeight="1">
      <c r="A168" s="756" t="inlineStr">
        <is>
          <t>8. การขออนุมัติใช้ห้องประชุม</t>
        </is>
      </c>
      <c r="B168" s="757" t="inlineStr">
        <is>
          <t>ครั้ง</t>
        </is>
      </c>
      <c r="C168" s="758" t="n">
        <v>5</v>
      </c>
      <c r="D168" s="759">
        <f>C168*0.143</f>
        <v/>
      </c>
      <c r="E168" s="217" t="n"/>
      <c r="F168" s="217" t="n"/>
      <c r="G168" s="217" t="n"/>
      <c r="H168" s="217" t="n"/>
      <c r="I168" s="217" t="n"/>
      <c r="J168" s="217" t="n"/>
      <c r="K168" s="217" t="n"/>
      <c r="L168" s="217" t="n"/>
      <c r="M168" s="217" t="n"/>
      <c r="N168" s="217" t="n"/>
      <c r="O168" s="217" t="n"/>
      <c r="P168" s="217" t="n"/>
      <c r="Q168" s="217" t="n"/>
      <c r="R168" s="217" t="n"/>
      <c r="S168" s="217" t="n"/>
      <c r="T168" s="217" t="n"/>
      <c r="U168" s="217" t="n"/>
      <c r="V168" s="217" t="n"/>
      <c r="W168" s="217" t="n"/>
      <c r="X168" s="217" t="n"/>
      <c r="Y168" s="217" t="n"/>
      <c r="Z168" s="217" t="n"/>
      <c r="AA168" s="217" t="n"/>
      <c r="AB168" s="217" t="n"/>
      <c r="AC168" s="217" t="n"/>
      <c r="AD168" s="217" t="n"/>
      <c r="AE168" s="217" t="n"/>
      <c r="AF168" s="217" t="n"/>
      <c r="AG168" s="220" t="n"/>
      <c r="AH168" s="221" t="n"/>
      <c r="AI168" s="222" t="n"/>
      <c r="AJ168" s="760">
        <f>SUM(E168:AI168)</f>
        <v/>
      </c>
      <c r="AK168" s="760">
        <f>AJ168*D168</f>
        <v/>
      </c>
    </row>
    <row r="169" ht="25" customHeight="1">
      <c r="A169" s="756" t="inlineStr">
        <is>
          <t>9. การขอใช้รถยนต์ราชการ</t>
        </is>
      </c>
      <c r="B169" s="757" t="inlineStr">
        <is>
          <t>ครั้ง</t>
        </is>
      </c>
      <c r="C169" s="758" t="n">
        <v>5</v>
      </c>
      <c r="D169" s="759">
        <f>C169*0.143</f>
        <v/>
      </c>
      <c r="E169" s="217" t="n"/>
      <c r="F169" s="217" t="n"/>
      <c r="G169" s="217" t="n"/>
      <c r="H169" s="217" t="n"/>
      <c r="I169" s="217" t="n"/>
      <c r="J169" s="217" t="n"/>
      <c r="K169" s="217" t="n"/>
      <c r="L169" s="217" t="n"/>
      <c r="M169" s="217" t="n"/>
      <c r="N169" s="217" t="n"/>
      <c r="O169" s="217" t="n"/>
      <c r="P169" s="217" t="n"/>
      <c r="Q169" s="217" t="n"/>
      <c r="R169" s="217" t="n"/>
      <c r="S169" s="217" t="n"/>
      <c r="T169" s="217" t="n"/>
      <c r="U169" s="217" t="n"/>
      <c r="V169" s="217" t="n"/>
      <c r="W169" s="217" t="n"/>
      <c r="X169" s="217" t="n"/>
      <c r="Y169" s="217" t="n"/>
      <c r="Z169" s="217" t="n"/>
      <c r="AA169" s="217" t="n"/>
      <c r="AB169" s="217" t="n"/>
      <c r="AC169" s="217" t="n"/>
      <c r="AD169" s="217" t="n"/>
      <c r="AE169" s="217" t="n"/>
      <c r="AF169" s="217" t="n"/>
      <c r="AG169" s="220" t="n"/>
      <c r="AH169" s="221" t="n"/>
      <c r="AI169" s="222" t="n"/>
      <c r="AJ169" s="760">
        <f>SUM(E169:AI169)</f>
        <v/>
      </c>
      <c r="AK169" s="760">
        <f>AJ169*D169</f>
        <v/>
      </c>
    </row>
    <row r="170" ht="50" customHeight="1">
      <c r="A170" s="756" t="inlineStr">
        <is>
          <t>10. การจัดทำรายงานการประชุม(ไม่เกิน 5 วัน/รายงาน)</t>
        </is>
      </c>
      <c r="B170" s="757" t="inlineStr">
        <is>
          <t>เรื่อง</t>
        </is>
      </c>
      <c r="C170" s="758" t="n">
        <v>60</v>
      </c>
      <c r="D170" s="759">
        <f>C170*0.143</f>
        <v/>
      </c>
      <c r="E170" s="217" t="n"/>
      <c r="F170" s="217" t="n"/>
      <c r="G170" s="217" t="n"/>
      <c r="H170" s="217" t="n"/>
      <c r="I170" s="217" t="n"/>
      <c r="J170" s="217" t="n"/>
      <c r="K170" s="217" t="n"/>
      <c r="L170" s="217" t="n"/>
      <c r="M170" s="217" t="n"/>
      <c r="N170" s="217" t="n"/>
      <c r="O170" s="217" t="n"/>
      <c r="P170" s="217" t="n"/>
      <c r="Q170" s="217" t="n"/>
      <c r="R170" s="217" t="n"/>
      <c r="S170" s="217" t="n"/>
      <c r="T170" s="217" t="n"/>
      <c r="U170" s="217" t="n"/>
      <c r="V170" s="217" t="n"/>
      <c r="W170" s="217" t="n"/>
      <c r="X170" s="217" t="n"/>
      <c r="Y170" s="217" t="n"/>
      <c r="Z170" s="217" t="n"/>
      <c r="AA170" s="217" t="n"/>
      <c r="AB170" s="217" t="n"/>
      <c r="AC170" s="217" t="n"/>
      <c r="AD170" s="217" t="n"/>
      <c r="AE170" s="217" t="n"/>
      <c r="AF170" s="217" t="n"/>
      <c r="AG170" s="220" t="n"/>
      <c r="AH170" s="221" t="n"/>
      <c r="AI170" s="222" t="n"/>
      <c r="AJ170" s="760">
        <f>SUM(E170:AI170)</f>
        <v/>
      </c>
      <c r="AK170" s="760">
        <f>AJ170*D170</f>
        <v/>
      </c>
    </row>
    <row r="171">
      <c r="A171" s="210" t="inlineStr">
        <is>
          <t>11. การติดต่อประสานงาน</t>
        </is>
      </c>
      <c r="B171" s="211" t="n"/>
      <c r="C171" s="212" t="n"/>
      <c r="D171" s="211" t="n"/>
      <c r="E171" s="211" t="n"/>
      <c r="F171" s="211" t="n"/>
      <c r="G171" s="211" t="n"/>
      <c r="H171" s="211" t="n"/>
      <c r="I171" s="211" t="n"/>
      <c r="J171" s="211" t="n"/>
      <c r="K171" s="211" t="n"/>
      <c r="L171" s="211" t="n"/>
      <c r="M171" s="211" t="n"/>
      <c r="N171" s="211" t="n"/>
      <c r="O171" s="211" t="n"/>
      <c r="P171" s="211" t="n"/>
      <c r="Q171" s="211" t="n"/>
      <c r="R171" s="211" t="n"/>
      <c r="S171" s="211" t="n"/>
      <c r="T171" s="211" t="n"/>
      <c r="U171" s="211" t="n"/>
      <c r="V171" s="211" t="n"/>
      <c r="W171" s="211" t="n"/>
      <c r="X171" s="211" t="n"/>
      <c r="Y171" s="211" t="n"/>
      <c r="Z171" s="211" t="n"/>
      <c r="AA171" s="211" t="n"/>
      <c r="AB171" s="211" t="n"/>
      <c r="AC171" s="211" t="n"/>
      <c r="AD171" s="211" t="n"/>
      <c r="AE171" s="211" t="n"/>
      <c r="AF171" s="211" t="n"/>
      <c r="AG171" s="213" t="n"/>
      <c r="AH171" s="213" t="n"/>
      <c r="AI171" s="214" t="n"/>
      <c r="AJ171" s="215" t="n"/>
      <c r="AK171" s="216" t="n"/>
    </row>
    <row r="172">
      <c r="A172" s="149" t="inlineStr">
        <is>
          <t xml:space="preserve">11.1 การติดต่อประสานงานภายใน รพ.ฯ </t>
        </is>
      </c>
      <c r="B172" s="217" t="inlineStr">
        <is>
          <t>ครั้ง</t>
        </is>
      </c>
      <c r="C172" s="218" t="n">
        <v>10</v>
      </c>
      <c r="D172" s="219">
        <f>C172*0.143</f>
        <v/>
      </c>
      <c r="E172" s="217" t="n"/>
      <c r="F172" s="217" t="n"/>
      <c r="G172" s="217" t="n"/>
      <c r="H172" s="217" t="n"/>
      <c r="I172" s="217" t="n"/>
      <c r="J172" s="217" t="n"/>
      <c r="K172" s="217" t="n"/>
      <c r="L172" s="217" t="n"/>
      <c r="M172" s="217" t="n"/>
      <c r="N172" s="217" t="n"/>
      <c r="O172" s="217" t="n"/>
      <c r="P172" s="217" t="n"/>
      <c r="Q172" s="217" t="n"/>
      <c r="R172" s="217" t="n"/>
      <c r="S172" s="217" t="n"/>
      <c r="T172" s="217" t="n"/>
      <c r="U172" s="217" t="n"/>
      <c r="V172" s="217" t="n"/>
      <c r="W172" s="217" t="n"/>
      <c r="X172" s="217" t="n"/>
      <c r="Y172" s="217" t="n"/>
      <c r="Z172" s="217" t="n"/>
      <c r="AA172" s="217" t="n"/>
      <c r="AB172" s="217" t="n"/>
      <c r="AC172" s="217" t="n"/>
      <c r="AD172" s="217" t="n"/>
      <c r="AE172" s="217" t="n"/>
      <c r="AF172" s="217" t="n"/>
      <c r="AG172" s="220" t="n"/>
      <c r="AH172" s="221" t="n"/>
      <c r="AI172" s="222" t="n"/>
      <c r="AJ172" s="223">
        <f>SUM(E172:AI172)</f>
        <v/>
      </c>
      <c r="AK172" s="223">
        <f>AJ172*D172</f>
        <v/>
      </c>
    </row>
    <row r="173">
      <c r="A173" s="155" t="inlineStr">
        <is>
          <t>11.2 การติดต่อประสานงานภายนอก รพ.ฯ</t>
        </is>
      </c>
      <c r="B173" s="217" t="inlineStr">
        <is>
          <t>ครั้ง</t>
        </is>
      </c>
      <c r="C173" s="218" t="n">
        <v>15</v>
      </c>
      <c r="D173" s="219">
        <f>C173*0.143</f>
        <v/>
      </c>
      <c r="E173" s="224" t="n"/>
      <c r="F173" s="224" t="n"/>
      <c r="G173" s="224" t="n"/>
      <c r="H173" s="224" t="n"/>
      <c r="I173" s="224" t="n"/>
      <c r="J173" s="224" t="n"/>
      <c r="K173" s="224" t="n"/>
      <c r="L173" s="224" t="n"/>
      <c r="M173" s="224" t="n"/>
      <c r="N173" s="224" t="n"/>
      <c r="O173" s="224" t="n"/>
      <c r="P173" s="224" t="n"/>
      <c r="Q173" s="224" t="n"/>
      <c r="R173" s="224" t="n"/>
      <c r="S173" s="224" t="n"/>
      <c r="T173" s="224" t="n"/>
      <c r="U173" s="224" t="n"/>
      <c r="V173" s="224" t="n"/>
      <c r="W173" s="224" t="n"/>
      <c r="X173" s="224" t="n"/>
      <c r="Y173" s="224" t="n"/>
      <c r="Z173" s="224" t="n"/>
      <c r="AA173" s="224" t="n"/>
      <c r="AB173" s="224" t="n"/>
      <c r="AC173" s="224" t="n"/>
      <c r="AD173" s="224" t="n"/>
      <c r="AE173" s="224" t="n"/>
      <c r="AF173" s="224" t="n"/>
      <c r="AG173" s="220" t="n"/>
      <c r="AH173" s="221" t="n"/>
      <c r="AI173" s="225" t="n"/>
      <c r="AJ173" s="170">
        <f>SUM(E173:AI173)</f>
        <v/>
      </c>
      <c r="AK173" s="170">
        <f>AJ173*D173</f>
        <v/>
      </c>
    </row>
    <row r="174" ht="25" customHeight="1">
      <c r="A174" s="158" t="inlineStr">
        <is>
          <t>การดูแลรายวิชา</t>
        </is>
      </c>
      <c r="B174" s="226" t="n"/>
      <c r="C174" s="227" t="n"/>
      <c r="D174" s="228" t="n"/>
      <c r="E174" s="228" t="n"/>
      <c r="F174" s="227" t="n"/>
      <c r="G174" s="227" t="n"/>
      <c r="H174" s="227" t="n"/>
      <c r="I174" s="227" t="n"/>
      <c r="J174" s="227" t="n"/>
      <c r="K174" s="227" t="n"/>
      <c r="L174" s="227" t="n"/>
      <c r="M174" s="227" t="n"/>
      <c r="N174" s="227" t="n"/>
      <c r="O174" s="227" t="n"/>
      <c r="P174" s="227" t="n"/>
      <c r="Q174" s="227" t="n"/>
      <c r="R174" s="227" t="n"/>
      <c r="S174" s="227" t="n"/>
      <c r="T174" s="227" t="n"/>
      <c r="U174" s="227" t="n"/>
      <c r="V174" s="227" t="n"/>
      <c r="W174" s="227" t="n"/>
      <c r="X174" s="227" t="n"/>
      <c r="Y174" s="227" t="n"/>
      <c r="Z174" s="227" t="n"/>
      <c r="AA174" s="227" t="n"/>
      <c r="AB174" s="227" t="n"/>
      <c r="AC174" s="227" t="n"/>
      <c r="AD174" s="227" t="n"/>
      <c r="AE174" s="227" t="n"/>
      <c r="AF174" s="227" t="n"/>
      <c r="AG174" s="227" t="n"/>
      <c r="AH174" s="227" t="n"/>
      <c r="AI174" s="227" t="n"/>
      <c r="AJ174" s="215" t="n"/>
      <c r="AK174" s="623" t="n"/>
    </row>
    <row r="175" ht="25" customHeight="1">
      <c r="A175" s="167" t="inlineStr">
        <is>
          <t>1.จัดทำ มคอ. คู่มือ เอกสารในรายวิชา (ปีละ 1 ครั้ง)</t>
        </is>
      </c>
      <c r="B175" s="169" t="inlineStr">
        <is>
          <t>รายวิชา</t>
        </is>
      </c>
      <c r="C175" s="169" t="inlineStr">
        <is>
          <t>เหมา</t>
        </is>
      </c>
      <c r="D175" s="169" t="n">
        <v>300</v>
      </c>
      <c r="E175" s="169" t="n"/>
      <c r="F175" s="169" t="n"/>
      <c r="G175" s="169" t="n"/>
      <c r="H175" s="169" t="n"/>
      <c r="I175" s="169" t="n"/>
      <c r="J175" s="169" t="n"/>
      <c r="K175" s="169" t="n"/>
      <c r="L175" s="169" t="n"/>
      <c r="M175" s="169" t="n"/>
      <c r="N175" s="169" t="n"/>
      <c r="O175" s="169" t="n"/>
      <c r="P175" s="169" t="n"/>
      <c r="Q175" s="169" t="n"/>
      <c r="R175" s="169" t="n"/>
      <c r="S175" s="169" t="n"/>
      <c r="T175" s="169" t="n"/>
      <c r="U175" s="169" t="n"/>
      <c r="V175" s="169" t="n"/>
      <c r="W175" s="169" t="n"/>
      <c r="X175" s="169" t="n"/>
      <c r="Y175" s="169" t="n"/>
      <c r="Z175" s="169" t="n"/>
      <c r="AA175" s="169" t="n"/>
      <c r="AB175" s="169" t="n"/>
      <c r="AC175" s="169" t="n"/>
      <c r="AD175" s="169" t="n"/>
      <c r="AE175" s="169" t="n"/>
      <c r="AF175" s="169" t="n"/>
      <c r="AG175" s="169" t="n"/>
      <c r="AH175" s="169" t="n"/>
      <c r="AI175" s="169" t="n"/>
      <c r="AJ175" s="170">
        <f>SUM(E175:AI175)</f>
        <v/>
      </c>
      <c r="AK175" s="170">
        <f>AJ175*D175</f>
        <v/>
      </c>
    </row>
    <row r="176" ht="25" customHeight="1">
      <c r="A176" s="229" t="inlineStr">
        <is>
          <t>2.การขออนุมัติใช้ห้องประชุม ห้องเรียน</t>
        </is>
      </c>
      <c r="B176" s="168" t="inlineStr">
        <is>
          <t>ครั้ง</t>
        </is>
      </c>
      <c r="C176" s="168" t="n">
        <v>5</v>
      </c>
      <c r="D176" s="166">
        <f>C176*0.143</f>
        <v/>
      </c>
      <c r="E176" s="169" t="n"/>
      <c r="F176" s="169" t="n"/>
      <c r="G176" s="169" t="n"/>
      <c r="H176" s="169" t="n"/>
      <c r="I176" s="169" t="n"/>
      <c r="J176" s="169" t="n"/>
      <c r="K176" s="169" t="n"/>
      <c r="L176" s="169" t="n"/>
      <c r="M176" s="169" t="n"/>
      <c r="N176" s="169" t="n"/>
      <c r="O176" s="169" t="n"/>
      <c r="P176" s="169" t="n"/>
      <c r="Q176" s="169" t="n"/>
      <c r="R176" s="169" t="n"/>
      <c r="S176" s="169" t="n"/>
      <c r="T176" s="169" t="n"/>
      <c r="U176" s="169" t="n"/>
      <c r="V176" s="169" t="n"/>
      <c r="W176" s="169" t="n"/>
      <c r="X176" s="169" t="n"/>
      <c r="Y176" s="169" t="n"/>
      <c r="Z176" s="169" t="n"/>
      <c r="AA176" s="169" t="n"/>
      <c r="AB176" s="169" t="n"/>
      <c r="AC176" s="169" t="n"/>
      <c r="AD176" s="169" t="n"/>
      <c r="AE176" s="169" t="n"/>
      <c r="AF176" s="169" t="n"/>
      <c r="AG176" s="169" t="n"/>
      <c r="AH176" s="169" t="n"/>
      <c r="AI176" s="169" t="n"/>
      <c r="AJ176" s="170">
        <f>SUM(E176:AI176)</f>
        <v/>
      </c>
      <c r="AK176" s="170">
        <f>AJ176*D176</f>
        <v/>
      </c>
    </row>
    <row r="177" ht="25" customHeight="1">
      <c r="A177" s="167" t="inlineStr">
        <is>
          <t>3.รวบรวมข้อมูลในการจัดทำการประเมินทางดิจิทัล</t>
        </is>
      </c>
      <c r="B177" s="168" t="inlineStr">
        <is>
          <t>ครั้ง</t>
        </is>
      </c>
      <c r="C177" s="169" t="n">
        <v>60</v>
      </c>
      <c r="D177" s="169">
        <f>C177*0.143</f>
        <v/>
      </c>
      <c r="E177" s="169" t="n"/>
      <c r="F177" s="169" t="n"/>
      <c r="G177" s="169" t="n"/>
      <c r="H177" s="169" t="n"/>
      <c r="I177" s="169" t="n"/>
      <c r="J177" s="169" t="n"/>
      <c r="K177" s="169" t="n"/>
      <c r="L177" s="169" t="n"/>
      <c r="M177" s="169" t="n"/>
      <c r="N177" s="169" t="n"/>
      <c r="O177" s="169" t="n"/>
      <c r="P177" s="169" t="n"/>
      <c r="Q177" s="169" t="n"/>
      <c r="R177" s="169" t="n"/>
      <c r="S177" s="169" t="n"/>
      <c r="T177" s="169" t="n"/>
      <c r="U177" s="169" t="n"/>
      <c r="V177" s="169" t="n"/>
      <c r="W177" s="169" t="n"/>
      <c r="X177" s="169" t="n"/>
      <c r="Y177" s="169" t="n"/>
      <c r="Z177" s="169" t="n"/>
      <c r="AA177" s="169" t="n"/>
      <c r="AB177" s="169" t="n"/>
      <c r="AC177" s="169" t="n"/>
      <c r="AD177" s="169" t="n"/>
      <c r="AE177" s="169" t="n"/>
      <c r="AF177" s="169" t="n"/>
      <c r="AG177" s="169" t="n"/>
      <c r="AH177" s="169" t="n"/>
      <c r="AI177" s="169" t="n"/>
      <c r="AJ177" s="170">
        <f>SUM(E177:AI177)</f>
        <v/>
      </c>
      <c r="AK177" s="170">
        <f>AJ177*D177</f>
        <v/>
      </c>
    </row>
    <row r="178" ht="25" customHeight="1">
      <c r="A178" s="167" t="inlineStr">
        <is>
          <t>4.ประสานงานกับระบบ REXX</t>
        </is>
      </c>
      <c r="B178" s="168" t="inlineStr">
        <is>
          <t>ครั้ง</t>
        </is>
      </c>
      <c r="C178" s="169" t="n">
        <v>10</v>
      </c>
      <c r="D178" s="169">
        <f>C178*0.143</f>
        <v/>
      </c>
      <c r="E178" s="169" t="n"/>
      <c r="F178" s="169" t="n"/>
      <c r="G178" s="169" t="n"/>
      <c r="H178" s="169" t="n"/>
      <c r="I178" s="169" t="n"/>
      <c r="J178" s="169" t="n"/>
      <c r="K178" s="169" t="n"/>
      <c r="L178" s="169" t="n"/>
      <c r="M178" s="169" t="n"/>
      <c r="N178" s="169" t="n"/>
      <c r="O178" s="169" t="n"/>
      <c r="P178" s="169" t="n"/>
      <c r="Q178" s="169" t="n"/>
      <c r="R178" s="169" t="n"/>
      <c r="S178" s="169" t="n"/>
      <c r="T178" s="169" t="n"/>
      <c r="U178" s="169" t="n"/>
      <c r="V178" s="169" t="n"/>
      <c r="W178" s="169" t="n"/>
      <c r="X178" s="169" t="n"/>
      <c r="Y178" s="169" t="n"/>
      <c r="Z178" s="169" t="n"/>
      <c r="AA178" s="169" t="n"/>
      <c r="AB178" s="169" t="n"/>
      <c r="AC178" s="169" t="n"/>
      <c r="AD178" s="169" t="n"/>
      <c r="AE178" s="169" t="n"/>
      <c r="AF178" s="169" t="n"/>
      <c r="AG178" s="169" t="n"/>
      <c r="AH178" s="169" t="n"/>
      <c r="AI178" s="169" t="n"/>
      <c r="AJ178" s="170">
        <f>SUM(E178:AI178)</f>
        <v/>
      </c>
      <c r="AK178" s="170">
        <f>AJ178*D178</f>
        <v/>
      </c>
    </row>
    <row r="179" ht="50" customHeight="1">
      <c r="A179" s="167" t="inlineStr">
        <is>
          <r>
            <t xml:space="preserve">5.เบิกและจัดเตรียมอุปกรณ์เพื่อใช้ในการเรียนการสอนของนิสิต </t>
          </r>
          <r>
            <rPr>
              <rFont val="TH SarabunPSK"/>
              <family val="2"/>
              <b val="1"/>
              <color rgb="FFFF0000"/>
              <sz val="16"/>
            </rPr>
            <t>(ก่อนสอน)</t>
          </r>
        </is>
      </c>
      <c r="B179" s="168" t="inlineStr">
        <is>
          <t>ครั้ง</t>
        </is>
      </c>
      <c r="C179" s="169" t="n">
        <v>60</v>
      </c>
      <c r="D179" s="169">
        <f>C179*0.143</f>
        <v/>
      </c>
      <c r="E179" s="169" t="n"/>
      <c r="F179" s="169" t="n"/>
      <c r="G179" s="169" t="n"/>
      <c r="H179" s="169" t="n"/>
      <c r="I179" s="169" t="n"/>
      <c r="J179" s="169" t="n"/>
      <c r="K179" s="169" t="n"/>
      <c r="L179" s="169" t="n"/>
      <c r="M179" s="169" t="n"/>
      <c r="N179" s="169" t="n"/>
      <c r="O179" s="169" t="n"/>
      <c r="P179" s="169" t="n"/>
      <c r="Q179" s="169" t="n"/>
      <c r="R179" s="169" t="n"/>
      <c r="S179" s="169" t="n"/>
      <c r="T179" s="169" t="n"/>
      <c r="U179" s="169" t="n"/>
      <c r="V179" s="169" t="n"/>
      <c r="W179" s="169" t="n"/>
      <c r="X179" s="169" t="n"/>
      <c r="Y179" s="169" t="n"/>
      <c r="Z179" s="169" t="n"/>
      <c r="AA179" s="169" t="n"/>
      <c r="AB179" s="169" t="n"/>
      <c r="AC179" s="169" t="n"/>
      <c r="AD179" s="169" t="n"/>
      <c r="AE179" s="169" t="n"/>
      <c r="AF179" s="169" t="n"/>
      <c r="AG179" s="169" t="n"/>
      <c r="AH179" s="169" t="n"/>
      <c r="AI179" s="169" t="n"/>
      <c r="AJ179" s="170">
        <f>SUM(E179:AI179)</f>
        <v/>
      </c>
      <c r="AK179" s="170">
        <f>AJ179*D179</f>
        <v/>
      </c>
    </row>
    <row r="180" ht="50" customHeight="1">
      <c r="A180" s="167" t="inlineStr">
        <is>
          <r>
            <t xml:space="preserve">6.เบิกและจัดเตรียมอุปกรณ์เพื่อใช้ในการเรียนการสอนของนิสิต </t>
          </r>
          <r>
            <rPr>
              <rFont val="TH SarabunPSK"/>
              <family val="2"/>
              <b val="1"/>
              <color rgb="FF00B050"/>
              <sz val="16"/>
            </rPr>
            <t>(หลังสอน)</t>
          </r>
        </is>
      </c>
      <c r="B180" s="168" t="inlineStr">
        <is>
          <t>ครั้ง</t>
        </is>
      </c>
      <c r="C180" s="169" t="n">
        <v>90</v>
      </c>
      <c r="D180" s="169">
        <f>C180*0.143</f>
        <v/>
      </c>
      <c r="E180" s="169" t="n"/>
      <c r="F180" s="169" t="n"/>
      <c r="G180" s="169" t="n"/>
      <c r="H180" s="169" t="n"/>
      <c r="I180" s="169" t="n"/>
      <c r="J180" s="169" t="n"/>
      <c r="K180" s="169" t="n"/>
      <c r="L180" s="169" t="n"/>
      <c r="M180" s="169" t="n"/>
      <c r="N180" s="169" t="n"/>
      <c r="O180" s="169" t="n"/>
      <c r="P180" s="169" t="n"/>
      <c r="Q180" s="169" t="n"/>
      <c r="R180" s="169" t="n"/>
      <c r="S180" s="169" t="n"/>
      <c r="T180" s="169" t="n"/>
      <c r="U180" s="169" t="n"/>
      <c r="V180" s="169" t="n"/>
      <c r="W180" s="169" t="n"/>
      <c r="X180" s="169" t="n"/>
      <c r="Y180" s="169" t="n"/>
      <c r="Z180" s="169" t="n"/>
      <c r="AA180" s="169" t="n"/>
      <c r="AB180" s="169" t="n"/>
      <c r="AC180" s="169" t="n"/>
      <c r="AD180" s="169" t="n"/>
      <c r="AE180" s="169" t="n"/>
      <c r="AF180" s="169" t="n"/>
      <c r="AG180" s="169" t="n"/>
      <c r="AH180" s="169" t="n"/>
      <c r="AI180" s="169" t="n"/>
      <c r="AJ180" s="170">
        <f>SUM(E180:AI180)</f>
        <v/>
      </c>
      <c r="AK180" s="170">
        <f>AJ180*D180</f>
        <v/>
      </c>
    </row>
    <row r="181" ht="50" customHeight="1">
      <c r="A181" s="167" t="inlineStr">
        <is>
          <t>7.เชคยอดนิสิต ดูแลและประสานงานนิสิตในการเข้าเรียน การลาเรียน</t>
        </is>
      </c>
      <c r="B181" s="168" t="inlineStr">
        <is>
          <t>ครั้ง</t>
        </is>
      </c>
      <c r="C181" s="169" t="n">
        <v>10</v>
      </c>
      <c r="D181" s="169">
        <f>C181*0.143</f>
        <v/>
      </c>
      <c r="E181" s="169" t="n"/>
      <c r="F181" s="169" t="n"/>
      <c r="G181" s="169" t="n"/>
      <c r="H181" s="169" t="n"/>
      <c r="I181" s="169" t="n"/>
      <c r="J181" s="169" t="n"/>
      <c r="K181" s="169" t="n"/>
      <c r="L181" s="169" t="n"/>
      <c r="M181" s="169" t="n"/>
      <c r="N181" s="169" t="n"/>
      <c r="O181" s="169" t="n"/>
      <c r="P181" s="169" t="n"/>
      <c r="Q181" s="169" t="n"/>
      <c r="R181" s="169" t="n"/>
      <c r="S181" s="169" t="n"/>
      <c r="T181" s="169" t="n"/>
      <c r="U181" s="169" t="n"/>
      <c r="V181" s="169" t="n"/>
      <c r="W181" s="169" t="n"/>
      <c r="X181" s="169" t="n"/>
      <c r="Y181" s="169" t="n"/>
      <c r="Z181" s="169" t="n"/>
      <c r="AA181" s="169" t="n"/>
      <c r="AB181" s="169" t="n"/>
      <c r="AC181" s="169" t="n"/>
      <c r="AD181" s="169" t="n"/>
      <c r="AE181" s="169" t="n"/>
      <c r="AF181" s="169" t="n"/>
      <c r="AG181" s="169" t="n"/>
      <c r="AH181" s="169" t="n"/>
      <c r="AI181" s="169" t="n"/>
      <c r="AJ181" s="170">
        <f>SUM(E181:AI181)</f>
        <v/>
      </c>
      <c r="AK181" s="170">
        <f>AJ181*D181</f>
        <v/>
      </c>
    </row>
    <row r="182" ht="25" customHeight="1">
      <c r="A182" s="167" t="inlineStr">
        <is>
          <t>8.นำข้อสอบ MCQ เข้าระบบสอบอิเลคทรอนิกส์</t>
        </is>
      </c>
      <c r="B182" s="168" t="inlineStr">
        <is>
          <t>วิชา</t>
        </is>
      </c>
      <c r="C182" s="169" t="n">
        <v>60</v>
      </c>
      <c r="D182" s="169">
        <f>C182*0.143</f>
        <v/>
      </c>
      <c r="E182" s="169" t="n"/>
      <c r="F182" s="169" t="n"/>
      <c r="G182" s="169" t="n"/>
      <c r="H182" s="169" t="n"/>
      <c r="I182" s="169" t="n"/>
      <c r="J182" s="169" t="n"/>
      <c r="K182" s="169" t="n"/>
      <c r="L182" s="169" t="n"/>
      <c r="M182" s="169" t="n"/>
      <c r="N182" s="169" t="n"/>
      <c r="O182" s="169" t="n"/>
      <c r="P182" s="169" t="n"/>
      <c r="Q182" s="169" t="n"/>
      <c r="R182" s="169" t="n"/>
      <c r="S182" s="169" t="n"/>
      <c r="T182" s="169" t="n"/>
      <c r="U182" s="169" t="n"/>
      <c r="V182" s="169" t="n"/>
      <c r="W182" s="169" t="n"/>
      <c r="X182" s="169" t="n"/>
      <c r="Y182" s="169" t="n"/>
      <c r="Z182" s="169" t="n"/>
      <c r="AA182" s="169" t="n"/>
      <c r="AB182" s="169" t="n"/>
      <c r="AC182" s="169" t="n"/>
      <c r="AD182" s="169" t="n"/>
      <c r="AE182" s="169" t="n"/>
      <c r="AF182" s="169" t="n"/>
      <c r="AG182" s="169" t="n"/>
      <c r="AH182" s="169" t="n"/>
      <c r="AI182" s="169" t="n"/>
      <c r="AJ182" s="170">
        <f>SUM(E182:AI182)</f>
        <v/>
      </c>
      <c r="AK182" s="170">
        <f>AJ182*D182</f>
        <v/>
      </c>
    </row>
    <row r="183" ht="25" customHeight="1">
      <c r="A183" s="167" t="inlineStr">
        <is>
          <t>9.จัดทำเอกสารข้อสอบ MEQ, CRQ, OSCE</t>
        </is>
      </c>
      <c r="B183" s="168" t="inlineStr">
        <is>
          <t>วิชา</t>
        </is>
      </c>
      <c r="C183" s="169" t="n">
        <v>60</v>
      </c>
      <c r="D183" s="169">
        <f>C183*0.143</f>
        <v/>
      </c>
      <c r="E183" s="169" t="n"/>
      <c r="F183" s="169" t="n"/>
      <c r="G183" s="169" t="n"/>
      <c r="H183" s="169" t="n"/>
      <c r="I183" s="169" t="n"/>
      <c r="J183" s="169" t="n"/>
      <c r="K183" s="169" t="n"/>
      <c r="L183" s="169" t="n"/>
      <c r="M183" s="169" t="n"/>
      <c r="N183" s="169" t="n"/>
      <c r="O183" s="169" t="n"/>
      <c r="P183" s="169" t="n"/>
      <c r="Q183" s="169" t="n"/>
      <c r="R183" s="169" t="n"/>
      <c r="S183" s="169" t="n"/>
      <c r="T183" s="169" t="n"/>
      <c r="U183" s="169" t="n"/>
      <c r="V183" s="169" t="n"/>
      <c r="W183" s="169" t="n"/>
      <c r="X183" s="169" t="n"/>
      <c r="Y183" s="169" t="n"/>
      <c r="Z183" s="169" t="n"/>
      <c r="AA183" s="169" t="n"/>
      <c r="AB183" s="169" t="n"/>
      <c r="AC183" s="169" t="n"/>
      <c r="AD183" s="169" t="n"/>
      <c r="AE183" s="169" t="n"/>
      <c r="AF183" s="169" t="n"/>
      <c r="AG183" s="169" t="n"/>
      <c r="AH183" s="169" t="n"/>
      <c r="AI183" s="169" t="n"/>
      <c r="AJ183" s="170">
        <f>SUM(E183:AI183)</f>
        <v/>
      </c>
      <c r="AK183" s="170">
        <f>AJ183*D183</f>
        <v/>
      </c>
    </row>
    <row r="184" ht="25" customHeight="1">
      <c r="A184" s="230" t="inlineStr">
        <is>
          <t>10.รวบรวมคะแนน ตัดเกรด (ไม่เกิน 2 วันต่อรายวิชา)</t>
        </is>
      </c>
      <c r="B184" s="168" t="inlineStr">
        <is>
          <t>วิชา</t>
        </is>
      </c>
      <c r="C184" s="169" t="inlineStr">
        <is>
          <t>เหมา/วัน</t>
        </is>
      </c>
      <c r="D184" s="169" t="n">
        <v>60</v>
      </c>
      <c r="E184" s="169" t="n"/>
      <c r="F184" s="169" t="n"/>
      <c r="G184" s="169" t="n"/>
      <c r="H184" s="169" t="n"/>
      <c r="I184" s="169" t="n"/>
      <c r="J184" s="169" t="n"/>
      <c r="K184" s="169" t="n"/>
      <c r="L184" s="169" t="n"/>
      <c r="M184" s="169" t="n"/>
      <c r="N184" s="169" t="n"/>
      <c r="O184" s="169" t="n"/>
      <c r="P184" s="169" t="n"/>
      <c r="Q184" s="169" t="n"/>
      <c r="R184" s="169" t="n"/>
      <c r="S184" s="169" t="n"/>
      <c r="T184" s="169" t="n"/>
      <c r="U184" s="169" t="n"/>
      <c r="V184" s="169" t="n"/>
      <c r="W184" s="169" t="n"/>
      <c r="X184" s="169" t="n"/>
      <c r="Y184" s="169" t="n"/>
      <c r="Z184" s="169" t="n"/>
      <c r="AA184" s="169" t="n"/>
      <c r="AB184" s="169" t="n"/>
      <c r="AC184" s="169" t="n"/>
      <c r="AD184" s="169" t="n"/>
      <c r="AE184" s="169" t="n"/>
      <c r="AF184" s="169" t="n"/>
      <c r="AG184" s="169" t="n"/>
      <c r="AH184" s="169" t="n"/>
      <c r="AI184" s="169" t="n"/>
      <c r="AJ184" s="170">
        <f>SUM(E184:AI184)</f>
        <v/>
      </c>
      <c r="AK184" s="170">
        <f>AJ184*D184</f>
        <v/>
      </c>
    </row>
    <row r="185" ht="25" customHeight="1">
      <c r="A185" s="230" t="inlineStr">
        <is>
          <t>11.เตรียมเอกสาร ไฟล์ประกอบการสอน</t>
        </is>
      </c>
      <c r="B185" s="168" t="inlineStr">
        <is>
          <t>เอกสาร</t>
        </is>
      </c>
      <c r="C185" s="169" t="n">
        <v>10</v>
      </c>
      <c r="D185" s="169">
        <f>C185*0.143</f>
        <v/>
      </c>
      <c r="E185" s="169" t="n"/>
      <c r="F185" s="169" t="n"/>
      <c r="G185" s="169" t="n"/>
      <c r="H185" s="169" t="n"/>
      <c r="I185" s="169" t="n"/>
      <c r="J185" s="169" t="n"/>
      <c r="K185" s="169" t="n"/>
      <c r="L185" s="169" t="n"/>
      <c r="M185" s="169" t="n"/>
      <c r="N185" s="169" t="n"/>
      <c r="O185" s="169" t="n"/>
      <c r="P185" s="169" t="n"/>
      <c r="Q185" s="169" t="n"/>
      <c r="R185" s="169" t="n"/>
      <c r="S185" s="169" t="n"/>
      <c r="T185" s="169" t="n"/>
      <c r="U185" s="169" t="n"/>
      <c r="V185" s="169" t="n"/>
      <c r="W185" s="169" t="n"/>
      <c r="X185" s="169" t="n"/>
      <c r="Y185" s="169" t="n"/>
      <c r="Z185" s="169" t="n"/>
      <c r="AA185" s="169" t="n"/>
      <c r="AB185" s="169" t="n"/>
      <c r="AC185" s="169" t="n"/>
      <c r="AD185" s="169" t="n"/>
      <c r="AE185" s="169" t="n"/>
      <c r="AF185" s="169" t="n"/>
      <c r="AG185" s="169" t="n"/>
      <c r="AH185" s="169" t="n"/>
      <c r="AI185" s="169" t="n"/>
      <c r="AJ185" s="170">
        <f>SUM(E185:AI185)</f>
        <v/>
      </c>
      <c r="AK185" s="170">
        <f>AJ185*D185</f>
        <v/>
      </c>
    </row>
    <row r="186" ht="25" customHeight="1">
      <c r="A186" s="230" t="inlineStr">
        <is>
          <t>12.ปรับเอกสาร ไฟล์ประกอบการสอน</t>
        </is>
      </c>
      <c r="B186" s="168" t="inlineStr">
        <is>
          <t>เอกสาร</t>
        </is>
      </c>
      <c r="C186" s="169" t="n">
        <v>30</v>
      </c>
      <c r="D186" s="169">
        <f>C186*0.143</f>
        <v/>
      </c>
      <c r="E186" s="169" t="n"/>
      <c r="F186" s="169" t="n"/>
      <c r="G186" s="169" t="n"/>
      <c r="H186" s="169" t="n"/>
      <c r="I186" s="169" t="n"/>
      <c r="J186" s="169" t="n"/>
      <c r="K186" s="169" t="n"/>
      <c r="L186" s="169" t="n"/>
      <c r="M186" s="169" t="n"/>
      <c r="N186" s="169" t="n"/>
      <c r="O186" s="169" t="n"/>
      <c r="P186" s="169" t="n"/>
      <c r="Q186" s="169" t="n"/>
      <c r="R186" s="169" t="n"/>
      <c r="S186" s="169" t="n"/>
      <c r="T186" s="169" t="n"/>
      <c r="U186" s="169" t="n"/>
      <c r="V186" s="169" t="n"/>
      <c r="W186" s="169" t="n"/>
      <c r="X186" s="169" t="n"/>
      <c r="Y186" s="169" t="n"/>
      <c r="Z186" s="169" t="n"/>
      <c r="AA186" s="169" t="n"/>
      <c r="AB186" s="169" t="n"/>
      <c r="AC186" s="169" t="n"/>
      <c r="AD186" s="169" t="n"/>
      <c r="AE186" s="169" t="n"/>
      <c r="AF186" s="169" t="n"/>
      <c r="AG186" s="169" t="n"/>
      <c r="AH186" s="169" t="n"/>
      <c r="AI186" s="169" t="n"/>
      <c r="AJ186" s="170">
        <f>SUM(E186:AI186)</f>
        <v/>
      </c>
      <c r="AK186" s="170">
        <f>AJ186*D186</f>
        <v/>
      </c>
    </row>
    <row r="187" ht="25" customHeight="1">
      <c r="A187" s="230" t="inlineStr">
        <is>
          <t>13.จัดห้องสอบปกติและการสอบซ่อม เอกสาร ป้ายชื่อ</t>
        </is>
      </c>
      <c r="B187" s="169" t="inlineStr">
        <is>
          <t>ครั้ง</t>
        </is>
      </c>
      <c r="C187" s="169" t="n">
        <v>30</v>
      </c>
      <c r="D187" s="169">
        <f>C187*0.143</f>
        <v/>
      </c>
      <c r="E187" s="169" t="n"/>
      <c r="F187" s="169" t="n"/>
      <c r="G187" s="169" t="n"/>
      <c r="H187" s="169" t="n"/>
      <c r="I187" s="169" t="n"/>
      <c r="J187" s="169" t="n"/>
      <c r="K187" s="169" t="n"/>
      <c r="L187" s="169" t="n"/>
      <c r="M187" s="169" t="n"/>
      <c r="N187" s="169" t="n"/>
      <c r="O187" s="169" t="n"/>
      <c r="P187" s="169" t="n"/>
      <c r="Q187" s="169" t="n"/>
      <c r="R187" s="169" t="n"/>
      <c r="S187" s="169" t="n"/>
      <c r="T187" s="169" t="n"/>
      <c r="U187" s="169" t="n"/>
      <c r="V187" s="169" t="n"/>
      <c r="W187" s="169" t="n"/>
      <c r="X187" s="169" t="n"/>
      <c r="Y187" s="169" t="n"/>
      <c r="Z187" s="169" t="n"/>
      <c r="AA187" s="169" t="n"/>
      <c r="AB187" s="169" t="n"/>
      <c r="AC187" s="169" t="n"/>
      <c r="AD187" s="169" t="n"/>
      <c r="AE187" s="169" t="n"/>
      <c r="AF187" s="169" t="n"/>
      <c r="AG187" s="169" t="n"/>
      <c r="AH187" s="169" t="n"/>
      <c r="AI187" s="169" t="n"/>
      <c r="AJ187" s="170">
        <f>SUM(E187:AI187)</f>
        <v/>
      </c>
      <c r="AK187" s="170">
        <f>AJ187*D187</f>
        <v/>
      </c>
    </row>
    <row r="188" ht="25" customHeight="1">
      <c r="A188" s="230" t="inlineStr">
        <is>
          <t>14.คุมสอบข้อเขียน</t>
        </is>
      </c>
      <c r="B188" s="169" t="inlineStr">
        <is>
          <t>ครั้ง</t>
        </is>
      </c>
      <c r="C188" s="169" t="n">
        <v>90</v>
      </c>
      <c r="D188" s="169">
        <f>C188*0.143</f>
        <v/>
      </c>
      <c r="E188" s="169" t="n"/>
      <c r="F188" s="169" t="n"/>
      <c r="G188" s="169" t="n"/>
      <c r="H188" s="169" t="n"/>
      <c r="I188" s="169" t="n"/>
      <c r="J188" s="169" t="n"/>
      <c r="K188" s="169" t="n"/>
      <c r="L188" s="169" t="n"/>
      <c r="M188" s="169" t="n"/>
      <c r="N188" s="169" t="n"/>
      <c r="O188" s="169" t="n"/>
      <c r="P188" s="169" t="n"/>
      <c r="Q188" s="169" t="n"/>
      <c r="R188" s="169" t="n"/>
      <c r="S188" s="169" t="n"/>
      <c r="T188" s="169" t="n"/>
      <c r="U188" s="169" t="n"/>
      <c r="V188" s="169" t="n"/>
      <c r="W188" s="169" t="n"/>
      <c r="X188" s="169" t="n"/>
      <c r="Y188" s="169" t="n"/>
      <c r="Z188" s="169" t="n"/>
      <c r="AA188" s="169" t="n"/>
      <c r="AB188" s="169" t="n"/>
      <c r="AC188" s="169" t="n"/>
      <c r="AD188" s="169" t="n"/>
      <c r="AE188" s="169" t="n"/>
      <c r="AF188" s="169" t="n"/>
      <c r="AG188" s="169" t="n"/>
      <c r="AH188" s="169" t="n"/>
      <c r="AI188" s="169" t="n"/>
      <c r="AJ188" s="170">
        <f>SUM(E188:AI188)</f>
        <v/>
      </c>
      <c r="AK188" s="170">
        <f>AJ188*D188</f>
        <v/>
      </c>
    </row>
    <row r="189" ht="25" customHeight="1">
      <c r="A189" s="230" t="inlineStr">
        <is>
          <t>15.คุมสอบ OSCE</t>
        </is>
      </c>
      <c r="B189" s="169" t="inlineStr">
        <is>
          <t>ครั้ง</t>
        </is>
      </c>
      <c r="C189" s="169" t="inlineStr">
        <is>
          <t>เหมาวัน</t>
        </is>
      </c>
      <c r="D189" s="169" t="n">
        <v>30</v>
      </c>
      <c r="E189" s="169" t="n"/>
      <c r="F189" s="169" t="n"/>
      <c r="G189" s="169" t="n"/>
      <c r="H189" s="169" t="n"/>
      <c r="I189" s="169" t="n"/>
      <c r="J189" s="169" t="n"/>
      <c r="K189" s="169" t="n"/>
      <c r="L189" s="169" t="n"/>
      <c r="M189" s="169" t="n"/>
      <c r="N189" s="169" t="n"/>
      <c r="O189" s="169" t="n"/>
      <c r="P189" s="169" t="n"/>
      <c r="Q189" s="169" t="n"/>
      <c r="R189" s="169" t="n"/>
      <c r="S189" s="169" t="n"/>
      <c r="T189" s="169" t="n"/>
      <c r="U189" s="169" t="n"/>
      <c r="V189" s="169" t="n"/>
      <c r="W189" s="169" t="n"/>
      <c r="X189" s="169" t="n"/>
      <c r="Y189" s="169" t="n"/>
      <c r="Z189" s="169" t="n"/>
      <c r="AA189" s="169" t="n"/>
      <c r="AB189" s="169" t="n"/>
      <c r="AC189" s="169" t="n"/>
      <c r="AD189" s="169" t="n"/>
      <c r="AE189" s="169" t="n"/>
      <c r="AF189" s="169" t="n"/>
      <c r="AG189" s="169" t="n"/>
      <c r="AH189" s="169" t="n"/>
      <c r="AI189" s="169" t="n"/>
      <c r="AJ189" s="170">
        <f>SUM(E189:AI189)</f>
        <v/>
      </c>
      <c r="AK189" s="170">
        <f>AJ189*D189</f>
        <v/>
      </c>
    </row>
    <row r="190" ht="25" customHeight="1">
      <c r="A190" s="230" t="inlineStr">
        <is>
          <t>16.จัดทำ มคอ. 5 (วิชาละ 1 เล่ม/ปี)</t>
        </is>
      </c>
      <c r="B190" s="169" t="inlineStr">
        <is>
          <t>วิชา</t>
        </is>
      </c>
      <c r="C190" s="169" t="n">
        <v>60</v>
      </c>
      <c r="D190" s="169">
        <f>C190*0.143</f>
        <v/>
      </c>
      <c r="E190" s="169" t="n"/>
      <c r="F190" s="169" t="n"/>
      <c r="G190" s="169" t="n"/>
      <c r="H190" s="169" t="n"/>
      <c r="I190" s="169" t="n"/>
      <c r="J190" s="169" t="n"/>
      <c r="K190" s="169" t="n"/>
      <c r="L190" s="169" t="n"/>
      <c r="M190" s="169" t="n"/>
      <c r="N190" s="169" t="n"/>
      <c r="O190" s="169" t="n"/>
      <c r="P190" s="169" t="n"/>
      <c r="Q190" s="169" t="n"/>
      <c r="R190" s="169" t="n"/>
      <c r="S190" s="169" t="n"/>
      <c r="T190" s="169" t="n"/>
      <c r="U190" s="169" t="n"/>
      <c r="V190" s="169" t="n"/>
      <c r="W190" s="169" t="n"/>
      <c r="X190" s="169" t="n"/>
      <c r="Y190" s="169" t="n"/>
      <c r="Z190" s="169" t="n"/>
      <c r="AA190" s="169" t="n"/>
      <c r="AB190" s="169" t="n"/>
      <c r="AC190" s="169" t="n"/>
      <c r="AD190" s="169" t="n"/>
      <c r="AE190" s="169" t="n"/>
      <c r="AF190" s="169" t="n"/>
      <c r="AG190" s="169" t="n"/>
      <c r="AH190" s="169" t="n"/>
      <c r="AI190" s="169" t="n"/>
      <c r="AJ190" s="170">
        <f>SUM(E190:AI190)</f>
        <v/>
      </c>
      <c r="AK190" s="170">
        <f>AJ190*D190</f>
        <v/>
      </c>
    </row>
    <row r="191" ht="25" customHeight="1">
      <c r="A191" s="230" t="inlineStr">
        <is>
          <t>17.จัดทำเอกสารในกรณีที่มีการอุทธรณ์ของนิสิต</t>
        </is>
      </c>
      <c r="B191" s="231" t="inlineStr">
        <is>
          <t>วิชา</t>
        </is>
      </c>
      <c r="C191" s="231" t="n">
        <v>60</v>
      </c>
      <c r="D191" s="231">
        <f>C191*0.143</f>
        <v/>
      </c>
      <c r="E191" s="231" t="n"/>
      <c r="F191" s="231" t="n"/>
      <c r="G191" s="231" t="n"/>
      <c r="H191" s="231" t="n"/>
      <c r="I191" s="231" t="n"/>
      <c r="J191" s="231" t="n"/>
      <c r="K191" s="231" t="n"/>
      <c r="L191" s="231" t="n"/>
      <c r="M191" s="231" t="n"/>
      <c r="N191" s="231" t="n"/>
      <c r="O191" s="231" t="n"/>
      <c r="P191" s="231" t="n"/>
      <c r="Q191" s="231" t="n"/>
      <c r="R191" s="231" t="n"/>
      <c r="S191" s="231" t="n"/>
      <c r="T191" s="231" t="n"/>
      <c r="U191" s="231" t="n"/>
      <c r="V191" s="231" t="n"/>
      <c r="W191" s="231" t="n"/>
      <c r="X191" s="231" t="n"/>
      <c r="Y191" s="231" t="n"/>
      <c r="Z191" s="231" t="n"/>
      <c r="AA191" s="231" t="n"/>
      <c r="AB191" s="231" t="n"/>
      <c r="AC191" s="231" t="n"/>
      <c r="AD191" s="231" t="n"/>
      <c r="AE191" s="231" t="n"/>
      <c r="AF191" s="231" t="n"/>
      <c r="AG191" s="231" t="n"/>
      <c r="AH191" s="231" t="n"/>
      <c r="AI191" s="231" t="n"/>
      <c r="AJ191" s="232">
        <f>SUM(E191:AI191)</f>
        <v/>
      </c>
      <c r="AK191" s="232">
        <f>AJ191*D191</f>
        <v/>
      </c>
    </row>
    <row r="192" ht="25" customHeight="1">
      <c r="A192" s="158" t="inlineStr">
        <is>
          <t>งานบริการห้องเรียนและห้องประชุมและโสตทัศนูปกรณ์</t>
        </is>
      </c>
      <c r="B192" s="226" t="n"/>
      <c r="C192" s="227" t="n"/>
      <c r="D192" s="227" t="n"/>
      <c r="E192" s="227" t="n"/>
      <c r="F192" s="227" t="n"/>
      <c r="G192" s="227" t="n"/>
      <c r="H192" s="227" t="n"/>
      <c r="I192" s="227" t="n"/>
      <c r="J192" s="227" t="n"/>
      <c r="K192" s="227" t="n"/>
      <c r="L192" s="227" t="n"/>
      <c r="M192" s="227" t="n"/>
      <c r="N192" s="227" t="n"/>
      <c r="O192" s="227" t="n"/>
      <c r="P192" s="227" t="n"/>
      <c r="Q192" s="227" t="n"/>
      <c r="R192" s="227" t="n"/>
      <c r="S192" s="227" t="n"/>
      <c r="T192" s="227" t="n"/>
      <c r="U192" s="227" t="n"/>
      <c r="V192" s="227" t="n"/>
      <c r="W192" s="227" t="n"/>
      <c r="X192" s="227" t="n"/>
      <c r="Y192" s="227" t="n"/>
      <c r="Z192" s="227" t="n"/>
      <c r="AA192" s="227" t="n"/>
      <c r="AB192" s="227" t="n"/>
      <c r="AC192" s="227" t="n"/>
      <c r="AD192" s="227" t="n"/>
      <c r="AE192" s="227" t="n"/>
      <c r="AF192" s="227" t="n"/>
      <c r="AG192" s="227" t="n"/>
      <c r="AH192" s="227" t="n"/>
      <c r="AI192" s="227" t="n"/>
      <c r="AJ192" s="215" t="n"/>
      <c r="AK192" s="623" t="n"/>
    </row>
    <row r="193" ht="50" customHeight="1">
      <c r="A193" s="230" t="inlineStr">
        <is>
          <t>1.เตรียมห้องเรียนหรือห้องประชุมในการเรียนการสอน (2 รอบต่อวัน)</t>
        </is>
      </c>
      <c r="B193" s="233" t="inlineStr">
        <is>
          <t>รอบ</t>
        </is>
      </c>
      <c r="C193" s="233" t="n">
        <v>15</v>
      </c>
      <c r="D193" s="234">
        <f>C193*0.143</f>
        <v/>
      </c>
      <c r="E193" s="233" t="n"/>
      <c r="F193" s="233" t="n"/>
      <c r="G193" s="233" t="n"/>
      <c r="H193" s="233" t="n"/>
      <c r="I193" s="233" t="n"/>
      <c r="J193" s="233" t="n"/>
      <c r="K193" s="233" t="n"/>
      <c r="L193" s="233" t="n"/>
      <c r="M193" s="233" t="n"/>
      <c r="N193" s="233" t="n"/>
      <c r="O193" s="233" t="n"/>
      <c r="P193" s="233" t="n"/>
      <c r="Q193" s="233" t="n"/>
      <c r="R193" s="233" t="n"/>
      <c r="S193" s="233" t="n"/>
      <c r="T193" s="233" t="n"/>
      <c r="U193" s="233" t="n"/>
      <c r="V193" s="233" t="n"/>
      <c r="W193" s="233" t="n"/>
      <c r="X193" s="233" t="n"/>
      <c r="Y193" s="233" t="n"/>
      <c r="Z193" s="233" t="n"/>
      <c r="AA193" s="233" t="n"/>
      <c r="AB193" s="233" t="n"/>
      <c r="AC193" s="233" t="n"/>
      <c r="AD193" s="233" t="n"/>
      <c r="AE193" s="233" t="n"/>
      <c r="AF193" s="233" t="n"/>
      <c r="AG193" s="233" t="n"/>
      <c r="AH193" s="233" t="n"/>
      <c r="AI193" s="233" t="n"/>
      <c r="AJ193" s="223">
        <f>SUM(E193:AI193)</f>
        <v/>
      </c>
      <c r="AK193" s="223">
        <f>AJ193*D193</f>
        <v/>
      </c>
    </row>
    <row r="194" ht="50" customHeight="1">
      <c r="A194" s="235" t="inlineStr">
        <is>
          <t>2.จัดเตรียมสถานที่อุปกรณ์ สนับสนุนการสอบ MCQ หรือ MEQ แพทย์ นิสิตแพทย์</t>
        </is>
      </c>
      <c r="B194" s="169" t="inlineStr">
        <is>
          <t>ครั้ง</t>
        </is>
      </c>
      <c r="C194" s="169" t="n">
        <v>15</v>
      </c>
      <c r="D194" s="166">
        <f>C194*0.143</f>
        <v/>
      </c>
      <c r="E194" s="169" t="n"/>
      <c r="F194" s="169" t="n"/>
      <c r="G194" s="169" t="n"/>
      <c r="H194" s="169" t="n"/>
      <c r="I194" s="169" t="n"/>
      <c r="J194" s="169" t="n"/>
      <c r="K194" s="169" t="n"/>
      <c r="L194" s="169" t="n"/>
      <c r="M194" s="169" t="n"/>
      <c r="N194" s="169" t="n"/>
      <c r="O194" s="169" t="n"/>
      <c r="P194" s="169" t="n"/>
      <c r="Q194" s="169" t="n"/>
      <c r="R194" s="169" t="n"/>
      <c r="S194" s="169" t="n"/>
      <c r="T194" s="169" t="n"/>
      <c r="U194" s="169" t="n"/>
      <c r="V194" s="169" t="n"/>
      <c r="W194" s="169" t="n"/>
      <c r="X194" s="169" t="n"/>
      <c r="Y194" s="169" t="n"/>
      <c r="Z194" s="169" t="n"/>
      <c r="AA194" s="169" t="n"/>
      <c r="AB194" s="169" t="n"/>
      <c r="AC194" s="169" t="n"/>
      <c r="AD194" s="169" t="n"/>
      <c r="AE194" s="169" t="n"/>
      <c r="AF194" s="169" t="n"/>
      <c r="AG194" s="169" t="n"/>
      <c r="AH194" s="169" t="n"/>
      <c r="AI194" s="169" t="n"/>
      <c r="AJ194" s="223">
        <f>SUM(E194:AI194)</f>
        <v/>
      </c>
      <c r="AK194" s="223">
        <f>AJ194*D194</f>
        <v/>
      </c>
    </row>
    <row r="195" ht="25" customHeight="1">
      <c r="A195" s="236" t="inlineStr">
        <is>
          <t>3.พัฒนาแอปพลิเคชันระบบฐานข้อมูลจองห้องเรียน</t>
        </is>
      </c>
      <c r="B195" s="169" t="inlineStr">
        <is>
          <t>วัน</t>
        </is>
      </c>
      <c r="C195" s="169" t="inlineStr">
        <is>
          <t>เหมา</t>
        </is>
      </c>
      <c r="D195" s="166" t="n">
        <v>30</v>
      </c>
      <c r="E195" s="169" t="n"/>
      <c r="F195" s="169" t="n"/>
      <c r="G195" s="169" t="n"/>
      <c r="H195" s="169" t="n"/>
      <c r="I195" s="169" t="n"/>
      <c r="J195" s="169" t="n"/>
      <c r="K195" s="169" t="n"/>
      <c r="L195" s="169" t="n"/>
      <c r="M195" s="169" t="n"/>
      <c r="N195" s="169" t="n"/>
      <c r="O195" s="169" t="n"/>
      <c r="P195" s="169" t="n"/>
      <c r="Q195" s="169" t="n"/>
      <c r="R195" s="169" t="n"/>
      <c r="S195" s="169" t="n"/>
      <c r="T195" s="169" t="n"/>
      <c r="U195" s="169" t="n"/>
      <c r="V195" s="169" t="n"/>
      <c r="W195" s="169" t="n"/>
      <c r="X195" s="169" t="n"/>
      <c r="Y195" s="169" t="n"/>
      <c r="Z195" s="169" t="n"/>
      <c r="AA195" s="169" t="n"/>
      <c r="AB195" s="169" t="n"/>
      <c r="AC195" s="169" t="n"/>
      <c r="AD195" s="169" t="n"/>
      <c r="AE195" s="169" t="n"/>
      <c r="AF195" s="169" t="n"/>
      <c r="AG195" s="169" t="n"/>
      <c r="AH195" s="169" t="n"/>
      <c r="AI195" s="169" t="n"/>
      <c r="AJ195" s="223">
        <f>SUM(E195:AI195)</f>
        <v/>
      </c>
      <c r="AK195" s="223">
        <f>AJ195*D195</f>
        <v/>
      </c>
    </row>
    <row r="196" ht="50" customHeight="1">
      <c r="A196" s="236" t="inlineStr">
        <is>
          <t>4.ให้ความช่วยเหลือและแนะนำการแก้ปัญหาการใช้งานห้องเรียนและโสตทัศนูปกรณ์แก่ผู้ใช้งานห้องเรียน</t>
        </is>
      </c>
      <c r="B196" s="169" t="inlineStr">
        <is>
          <t>ครั้ง</t>
        </is>
      </c>
      <c r="C196" s="169" t="n">
        <v>10</v>
      </c>
      <c r="D196" s="166">
        <f>C196*0.143</f>
        <v/>
      </c>
      <c r="E196" s="169" t="n"/>
      <c r="F196" s="169" t="n"/>
      <c r="G196" s="169" t="n"/>
      <c r="H196" s="169" t="n"/>
      <c r="I196" s="169" t="n"/>
      <c r="J196" s="169" t="n"/>
      <c r="K196" s="169" t="n"/>
      <c r="L196" s="169" t="n"/>
      <c r="M196" s="169" t="n"/>
      <c r="N196" s="169" t="n"/>
      <c r="O196" s="169" t="n"/>
      <c r="P196" s="169" t="n"/>
      <c r="Q196" s="169" t="n"/>
      <c r="R196" s="169" t="n"/>
      <c r="S196" s="169" t="n"/>
      <c r="T196" s="169" t="n"/>
      <c r="U196" s="169" t="n"/>
      <c r="V196" s="169" t="n"/>
      <c r="W196" s="169" t="n"/>
      <c r="X196" s="169" t="n"/>
      <c r="Y196" s="169" t="n"/>
      <c r="Z196" s="169" t="n"/>
      <c r="AA196" s="169" t="n"/>
      <c r="AB196" s="169" t="n"/>
      <c r="AC196" s="169" t="n"/>
      <c r="AD196" s="169" t="n"/>
      <c r="AE196" s="169" t="n"/>
      <c r="AF196" s="169" t="n"/>
      <c r="AG196" s="169" t="n"/>
      <c r="AH196" s="169" t="n"/>
      <c r="AI196" s="169" t="n"/>
      <c r="AJ196" s="223">
        <f>SUM(E196:AI196)</f>
        <v/>
      </c>
      <c r="AK196" s="223">
        <f>AJ196*D196</f>
        <v/>
      </c>
    </row>
    <row r="197" ht="25" customHeight="1">
      <c r="A197" s="236" t="inlineStr">
        <is>
          <t xml:space="preserve">5.ดูแลและจัดการ app ระบบจองห้องเรียน และโสตทัศนูปกรณ์ </t>
        </is>
      </c>
      <c r="B197" s="231" t="inlineStr">
        <is>
          <t>ครั้ง</t>
        </is>
      </c>
      <c r="C197" s="231" t="n">
        <v>5</v>
      </c>
      <c r="D197" s="237">
        <f>C197*0.143</f>
        <v/>
      </c>
      <c r="E197" s="231" t="n"/>
      <c r="F197" s="231" t="n"/>
      <c r="G197" s="231" t="n"/>
      <c r="H197" s="231" t="n"/>
      <c r="I197" s="231" t="n"/>
      <c r="J197" s="231" t="n"/>
      <c r="K197" s="231" t="n"/>
      <c r="L197" s="231" t="n"/>
      <c r="M197" s="231" t="n"/>
      <c r="N197" s="231" t="n"/>
      <c r="O197" s="231" t="n"/>
      <c r="P197" s="231" t="n"/>
      <c r="Q197" s="231" t="n"/>
      <c r="R197" s="231" t="n"/>
      <c r="S197" s="231" t="n"/>
      <c r="T197" s="231" t="n"/>
      <c r="U197" s="231" t="n"/>
      <c r="V197" s="231" t="n"/>
      <c r="W197" s="231" t="n"/>
      <c r="X197" s="231" t="n"/>
      <c r="Y197" s="231" t="n"/>
      <c r="Z197" s="231" t="n"/>
      <c r="AA197" s="231" t="n"/>
      <c r="AB197" s="231" t="n"/>
      <c r="AC197" s="231" t="n"/>
      <c r="AD197" s="231" t="n"/>
      <c r="AE197" s="231" t="n"/>
      <c r="AF197" s="231" t="n"/>
      <c r="AG197" s="231" t="n"/>
      <c r="AH197" s="231" t="n"/>
      <c r="AI197" s="231" t="n"/>
      <c r="AJ197" s="238">
        <f>SUM(E197:AI197)</f>
        <v/>
      </c>
      <c r="AK197" s="238">
        <f>AJ197*D197</f>
        <v/>
      </c>
    </row>
    <row r="198" ht="25" customHeight="1">
      <c r="A198" s="158" t="inlineStr">
        <is>
          <t>งานบริการห้องฝึกหัตถการและสถานการณ์จำลองทางคลินิก</t>
        </is>
      </c>
      <c r="B198" s="226" t="n"/>
      <c r="C198" s="227" t="n"/>
      <c r="D198" s="239" t="n"/>
      <c r="E198" s="227" t="n"/>
      <c r="F198" s="227" t="n"/>
      <c r="G198" s="227" t="n"/>
      <c r="H198" s="227" t="n"/>
      <c r="I198" s="227" t="n"/>
      <c r="J198" s="227" t="n"/>
      <c r="K198" s="227" t="n"/>
      <c r="L198" s="227" t="n"/>
      <c r="M198" s="227" t="n"/>
      <c r="N198" s="227" t="n"/>
      <c r="O198" s="227" t="n"/>
      <c r="P198" s="227" t="n"/>
      <c r="Q198" s="227" t="n"/>
      <c r="R198" s="227" t="n"/>
      <c r="S198" s="227" t="n"/>
      <c r="T198" s="227" t="n"/>
      <c r="U198" s="227" t="n"/>
      <c r="V198" s="227" t="n"/>
      <c r="W198" s="227" t="n"/>
      <c r="X198" s="227" t="n"/>
      <c r="Y198" s="227" t="n"/>
      <c r="Z198" s="227" t="n"/>
      <c r="AA198" s="227" t="n"/>
      <c r="AB198" s="227" t="n"/>
      <c r="AC198" s="227" t="n"/>
      <c r="AD198" s="227" t="n"/>
      <c r="AE198" s="227" t="n"/>
      <c r="AF198" s="227" t="n"/>
      <c r="AG198" s="227" t="n"/>
      <c r="AH198" s="227" t="n"/>
      <c r="AI198" s="227" t="n"/>
      <c r="AJ198" s="215" t="n"/>
      <c r="AK198" s="623" t="n"/>
    </row>
    <row r="199" ht="50" customHeight="1">
      <c r="A199" s="230" t="inlineStr">
        <is>
          <r>
            <t>1.เตรียม/จัดเก็บ</t>
          </r>
          <r>
            <rPr>
              <rFont val="TH SarabunPSK"/>
              <family val="2"/>
              <b val="1"/>
              <color theme="1"/>
              <sz val="16"/>
            </rPr>
            <t>ห้องฝึกหัตถการ</t>
          </r>
          <r>
            <rPr>
              <rFont val="TH SarabunPSK"/>
              <family val="2"/>
              <color theme="1"/>
              <sz val="16"/>
            </rPr>
            <t xml:space="preserve"> หรือสอบหัตถการทางคลินิก รายสถานการณ์</t>
          </r>
        </is>
      </c>
      <c r="B199" s="233" t="inlineStr">
        <is>
          <t>ครั้ง</t>
        </is>
      </c>
      <c r="C199" s="233" t="n">
        <v>45</v>
      </c>
      <c r="D199" s="234">
        <f>C199*0.143</f>
        <v/>
      </c>
      <c r="E199" s="233" t="n"/>
      <c r="F199" s="233" t="n"/>
      <c r="G199" s="233" t="n"/>
      <c r="H199" s="233" t="n"/>
      <c r="I199" s="233" t="n"/>
      <c r="J199" s="233" t="n"/>
      <c r="K199" s="233" t="n"/>
      <c r="L199" s="233" t="n"/>
      <c r="M199" s="233" t="n"/>
      <c r="N199" s="233" t="n"/>
      <c r="O199" s="233" t="n"/>
      <c r="P199" s="233" t="n"/>
      <c r="Q199" s="233" t="n"/>
      <c r="R199" s="233" t="n"/>
      <c r="S199" s="233" t="n"/>
      <c r="T199" s="233" t="n"/>
      <c r="U199" s="233" t="n"/>
      <c r="V199" s="233" t="n"/>
      <c r="W199" s="233" t="n"/>
      <c r="X199" s="233" t="n"/>
      <c r="Y199" s="233" t="n"/>
      <c r="Z199" s="233" t="n"/>
      <c r="AA199" s="233" t="n"/>
      <c r="AB199" s="233" t="n"/>
      <c r="AC199" s="233" t="n"/>
      <c r="AD199" s="233" t="n"/>
      <c r="AE199" s="233" t="n"/>
      <c r="AF199" s="233" t="n"/>
      <c r="AG199" s="233" t="n"/>
      <c r="AH199" s="233" t="n"/>
      <c r="AI199" s="233" t="n"/>
      <c r="AJ199" s="223">
        <f>SUM(E199:AI199)</f>
        <v/>
      </c>
      <c r="AK199" s="223">
        <f>AJ199*D199</f>
        <v/>
      </c>
    </row>
    <row r="200" ht="25" customHeight="1">
      <c r="A200" s="230" t="inlineStr">
        <is>
          <r>
            <t>2.เตรียม/จัดเก็บ</t>
          </r>
          <r>
            <rPr>
              <rFont val="TH SarabunPSK"/>
              <family val="2"/>
              <b val="1"/>
              <color theme="1"/>
              <sz val="16"/>
            </rPr>
            <t>ห้องสอบหัตถารทางคลินิก แบบรวมสถานการณ์</t>
          </r>
        </is>
      </c>
      <c r="B200" s="169" t="inlineStr">
        <is>
          <t>ครั้ง</t>
        </is>
      </c>
      <c r="C200" s="169" t="n">
        <v>90</v>
      </c>
      <c r="D200" s="166">
        <f>C200*0.143</f>
        <v/>
      </c>
      <c r="E200" s="169" t="n"/>
      <c r="F200" s="169" t="n"/>
      <c r="G200" s="169" t="n"/>
      <c r="H200" s="169" t="n"/>
      <c r="I200" s="169" t="n"/>
      <c r="J200" s="169" t="n"/>
      <c r="K200" s="169" t="n"/>
      <c r="L200" s="169" t="n"/>
      <c r="M200" s="169" t="n"/>
      <c r="N200" s="169" t="n"/>
      <c r="O200" s="169" t="n"/>
      <c r="P200" s="169" t="n"/>
      <c r="Q200" s="169" t="n"/>
      <c r="R200" s="169" t="n"/>
      <c r="S200" s="169" t="n"/>
      <c r="T200" s="169" t="n"/>
      <c r="U200" s="169" t="n"/>
      <c r="V200" s="169" t="n"/>
      <c r="W200" s="169" t="n"/>
      <c r="X200" s="169" t="n"/>
      <c r="Y200" s="169" t="n"/>
      <c r="Z200" s="169" t="n"/>
      <c r="AA200" s="169" t="n"/>
      <c r="AB200" s="169" t="n"/>
      <c r="AC200" s="169" t="n"/>
      <c r="AD200" s="169" t="n"/>
      <c r="AE200" s="169" t="n"/>
      <c r="AF200" s="169" t="n"/>
      <c r="AG200" s="169" t="n"/>
      <c r="AH200" s="169" t="n"/>
      <c r="AI200" s="169" t="n"/>
      <c r="AJ200" s="223">
        <f>SUM(E200:AI200)</f>
        <v/>
      </c>
      <c r="AK200" s="223">
        <f>AJ200*D200</f>
        <v/>
      </c>
    </row>
    <row r="201" ht="50" customHeight="1">
      <c r="A201" s="230" t="inlineStr">
        <is>
          <t>3.พัฒนาแอปพลิเคชันระบบฐานข้อมูลการเบิกยืมอุปกรณ์เพื่อใช้ในการฝึกหัตถการและสถานการณ์จำลองทางคลินิก</t>
        </is>
      </c>
      <c r="B201" s="169" t="inlineStr">
        <is>
          <t>วัน</t>
        </is>
      </c>
      <c r="C201" s="169" t="inlineStr">
        <is>
          <t>เหมา</t>
        </is>
      </c>
      <c r="D201" s="166" t="n">
        <v>30</v>
      </c>
      <c r="E201" s="169" t="n"/>
      <c r="F201" s="169" t="n"/>
      <c r="G201" s="169" t="n"/>
      <c r="H201" s="169" t="n"/>
      <c r="I201" s="169" t="n"/>
      <c r="J201" s="169" t="n"/>
      <c r="K201" s="169" t="n"/>
      <c r="L201" s="169" t="n"/>
      <c r="M201" s="169" t="n"/>
      <c r="N201" s="169" t="n"/>
      <c r="O201" s="169" t="n"/>
      <c r="P201" s="169" t="n"/>
      <c r="Q201" s="169" t="n"/>
      <c r="R201" s="169" t="n"/>
      <c r="S201" s="169" t="n"/>
      <c r="T201" s="169" t="n"/>
      <c r="U201" s="169" t="n"/>
      <c r="V201" s="169" t="n"/>
      <c r="W201" s="169" t="n"/>
      <c r="X201" s="169" t="n"/>
      <c r="Y201" s="169" t="n"/>
      <c r="Z201" s="169" t="n"/>
      <c r="AA201" s="169" t="n"/>
      <c r="AB201" s="169" t="n"/>
      <c r="AC201" s="169" t="n"/>
      <c r="AD201" s="169" t="n"/>
      <c r="AE201" s="169" t="n"/>
      <c r="AF201" s="169" t="n"/>
      <c r="AG201" s="169" t="n"/>
      <c r="AH201" s="169" t="n"/>
      <c r="AI201" s="169" t="n"/>
      <c r="AJ201" s="223">
        <f>SUM(E201:AI201)</f>
        <v/>
      </c>
      <c r="AK201" s="223">
        <f>AJ201*D201</f>
        <v/>
      </c>
    </row>
    <row r="202" ht="50" customHeight="1">
      <c r="A202" s="230" t="inlineStr">
        <is>
          <t>4.ทำทะเบียนการเบิก/ยืมรายการอุปกรณ์การฝึกหัตถการและสถานการณ์จำลองทางคลินิก</t>
        </is>
      </c>
      <c r="B202" s="169" t="inlineStr">
        <is>
          <t>วัน</t>
        </is>
      </c>
      <c r="C202" s="169" t="n">
        <v>15</v>
      </c>
      <c r="D202" s="166">
        <f>C202*0.143</f>
        <v/>
      </c>
      <c r="E202" s="169" t="n"/>
      <c r="F202" s="169" t="n"/>
      <c r="G202" s="169" t="n"/>
      <c r="H202" s="169" t="n"/>
      <c r="I202" s="169" t="n"/>
      <c r="J202" s="169" t="n"/>
      <c r="K202" s="169" t="n"/>
      <c r="L202" s="169" t="n"/>
      <c r="M202" s="169" t="n"/>
      <c r="N202" s="169" t="n"/>
      <c r="O202" s="169" t="n"/>
      <c r="P202" s="169" t="n"/>
      <c r="Q202" s="169" t="n"/>
      <c r="R202" s="169" t="n"/>
      <c r="S202" s="169" t="n"/>
      <c r="T202" s="169" t="n"/>
      <c r="U202" s="169" t="n"/>
      <c r="V202" s="169" t="n"/>
      <c r="W202" s="169" t="n"/>
      <c r="X202" s="169" t="n"/>
      <c r="Y202" s="169" t="n"/>
      <c r="Z202" s="169" t="n"/>
      <c r="AA202" s="169" t="n"/>
      <c r="AB202" s="169" t="n"/>
      <c r="AC202" s="169" t="n"/>
      <c r="AD202" s="169" t="n"/>
      <c r="AE202" s="169" t="n"/>
      <c r="AF202" s="169" t="n"/>
      <c r="AG202" s="169" t="n"/>
      <c r="AH202" s="169" t="n"/>
      <c r="AI202" s="169" t="n"/>
      <c r="AJ202" s="223">
        <f>SUM(E202:AI202)</f>
        <v/>
      </c>
      <c r="AK202" s="223">
        <f>AJ202*D202</f>
        <v/>
      </c>
    </row>
    <row r="203" ht="50" customHeight="1">
      <c r="A203" s="230" t="inlineStr">
        <is>
          <t>5.ให้ความช่วยเหลือและแนะนำการแก้ปัญหาแก่ผู้ใช้งานห้องฝึกหัตถการและสถานการณ์จำลองทางคลินิก</t>
        </is>
      </c>
      <c r="B203" s="169" t="inlineStr">
        <is>
          <t>ครั้ง</t>
        </is>
      </c>
      <c r="C203" s="169" t="n">
        <v>15</v>
      </c>
      <c r="D203" s="166">
        <f>C203*0.143</f>
        <v/>
      </c>
      <c r="E203" s="169" t="n"/>
      <c r="F203" s="169" t="n"/>
      <c r="G203" s="169" t="n"/>
      <c r="H203" s="169" t="n"/>
      <c r="I203" s="169" t="n"/>
      <c r="J203" s="169" t="n"/>
      <c r="K203" s="169" t="n"/>
      <c r="L203" s="169" t="n"/>
      <c r="M203" s="169" t="n"/>
      <c r="N203" s="169" t="n"/>
      <c r="O203" s="169" t="n"/>
      <c r="P203" s="169" t="n"/>
      <c r="Q203" s="169" t="n"/>
      <c r="R203" s="169" t="n"/>
      <c r="S203" s="169" t="n"/>
      <c r="T203" s="169" t="n"/>
      <c r="U203" s="169" t="n"/>
      <c r="V203" s="169" t="n"/>
      <c r="W203" s="169" t="n"/>
      <c r="X203" s="169" t="n"/>
      <c r="Y203" s="169" t="n"/>
      <c r="Z203" s="169" t="n"/>
      <c r="AA203" s="169" t="n"/>
      <c r="AB203" s="169" t="n"/>
      <c r="AC203" s="169" t="n"/>
      <c r="AD203" s="169" t="n"/>
      <c r="AE203" s="169" t="n"/>
      <c r="AF203" s="169" t="n"/>
      <c r="AG203" s="169" t="n"/>
      <c r="AH203" s="169" t="n"/>
      <c r="AI203" s="169" t="n"/>
      <c r="AJ203" s="223">
        <f>SUM(E203:AI203)</f>
        <v/>
      </c>
      <c r="AK203" s="223">
        <f>AJ203*D203</f>
        <v/>
      </c>
    </row>
    <row r="204" ht="75" customHeight="1">
      <c r="A204" s="240" t="inlineStr">
        <is>
          <t>6.การจัดการดูแลรักษาอุปกรณ์การฝึกหัตถการและสถานการณ์จำลองทางคลินิกตามห้วงเวลา หรือส่งซ่อมที่ชำรุด เปิดระบบ control KB Port</t>
        </is>
      </c>
      <c r="B204" s="231" t="inlineStr">
        <is>
          <t>วัน</t>
        </is>
      </c>
      <c r="C204" s="231" t="n">
        <v>20</v>
      </c>
      <c r="D204" s="237">
        <f>C204*0.143</f>
        <v/>
      </c>
      <c r="E204" s="231" t="n"/>
      <c r="F204" s="231" t="n"/>
      <c r="G204" s="231" t="n"/>
      <c r="H204" s="231" t="n"/>
      <c r="I204" s="231" t="n"/>
      <c r="J204" s="231" t="n"/>
      <c r="K204" s="231" t="n"/>
      <c r="L204" s="231" t="n"/>
      <c r="M204" s="231" t="n"/>
      <c r="N204" s="231" t="n"/>
      <c r="O204" s="231" t="n"/>
      <c r="P204" s="231" t="n"/>
      <c r="Q204" s="231" t="n"/>
      <c r="R204" s="231" t="n"/>
      <c r="S204" s="231" t="n"/>
      <c r="T204" s="231" t="n"/>
      <c r="U204" s="231" t="n"/>
      <c r="V204" s="231" t="n"/>
      <c r="W204" s="231" t="n"/>
      <c r="X204" s="231" t="n"/>
      <c r="Y204" s="231" t="n"/>
      <c r="Z204" s="231" t="n"/>
      <c r="AA204" s="231" t="n"/>
      <c r="AB204" s="231" t="n"/>
      <c r="AC204" s="231" t="n"/>
      <c r="AD204" s="231" t="n"/>
      <c r="AE204" s="231" t="n"/>
      <c r="AF204" s="231" t="n"/>
      <c r="AG204" s="231" t="n"/>
      <c r="AH204" s="231" t="n"/>
      <c r="AI204" s="231" t="n"/>
      <c r="AJ204" s="238">
        <f>SUM(E204:AI204)</f>
        <v/>
      </c>
      <c r="AK204" s="238">
        <f>AJ204*D204</f>
        <v/>
      </c>
    </row>
    <row r="205" ht="50" customHeight="1">
      <c r="A205" s="158" t="inlineStr">
        <is>
          <t>งานบริการเทคโนโลยีสารสนเทศ เว็บไซต์ Facebook ระบบอีเมล์</t>
        </is>
      </c>
      <c r="B205" s="226" t="n"/>
      <c r="C205" s="227" t="n"/>
      <c r="D205" s="239" t="n"/>
      <c r="E205" s="227" t="n"/>
      <c r="F205" s="227" t="n"/>
      <c r="G205" s="227" t="n"/>
      <c r="H205" s="227" t="n"/>
      <c r="I205" s="227" t="n"/>
      <c r="J205" s="227" t="n"/>
      <c r="K205" s="227" t="n"/>
      <c r="L205" s="227" t="n"/>
      <c r="M205" s="227" t="n"/>
      <c r="N205" s="227" t="n"/>
      <c r="O205" s="227" t="n"/>
      <c r="P205" s="227" t="n"/>
      <c r="Q205" s="227" t="n"/>
      <c r="R205" s="227" t="n"/>
      <c r="S205" s="227" t="n"/>
      <c r="T205" s="227" t="n"/>
      <c r="U205" s="227" t="n"/>
      <c r="V205" s="227" t="n"/>
      <c r="W205" s="227" t="n"/>
      <c r="X205" s="227" t="n"/>
      <c r="Y205" s="227" t="n"/>
      <c r="Z205" s="227" t="n"/>
      <c r="AA205" s="227" t="n"/>
      <c r="AB205" s="227" t="n"/>
      <c r="AC205" s="227" t="n"/>
      <c r="AD205" s="227" t="n"/>
      <c r="AE205" s="227" t="n"/>
      <c r="AF205" s="227" t="n"/>
      <c r="AG205" s="227" t="n"/>
      <c r="AH205" s="227" t="n"/>
      <c r="AI205" s="227" t="n"/>
      <c r="AJ205" s="215" t="n"/>
      <c r="AK205" s="623" t="n"/>
    </row>
    <row r="206" ht="25" customHeight="1">
      <c r="A206" s="167" t="inlineStr">
        <is>
          <t>1.การจัดการ และตั้งค่าระบบ ZOOM ศูนย์แพทยศาสตรศึกษา</t>
        </is>
      </c>
      <c r="B206" s="233" t="inlineStr">
        <is>
          <t>ครั้ง</t>
        </is>
      </c>
      <c r="C206" s="233" t="n">
        <v>5</v>
      </c>
      <c r="D206" s="234">
        <f>C206*0.143</f>
        <v/>
      </c>
      <c r="E206" s="233" t="n"/>
      <c r="F206" s="233" t="n"/>
      <c r="G206" s="233" t="n"/>
      <c r="H206" s="233" t="n"/>
      <c r="I206" s="233" t="n"/>
      <c r="J206" s="233" t="n"/>
      <c r="K206" s="233" t="n"/>
      <c r="L206" s="233" t="n"/>
      <c r="M206" s="233" t="n"/>
      <c r="N206" s="233" t="n"/>
      <c r="O206" s="233" t="n"/>
      <c r="P206" s="233" t="n"/>
      <c r="Q206" s="233" t="n"/>
      <c r="R206" s="233" t="n"/>
      <c r="S206" s="233" t="n"/>
      <c r="T206" s="233" t="n"/>
      <c r="U206" s="233" t="n"/>
      <c r="V206" s="233" t="n"/>
      <c r="W206" s="233" t="n"/>
      <c r="X206" s="233" t="n"/>
      <c r="Y206" s="233" t="n"/>
      <c r="Z206" s="233" t="n"/>
      <c r="AA206" s="233" t="n"/>
      <c r="AB206" s="233" t="n"/>
      <c r="AC206" s="233" t="n"/>
      <c r="AD206" s="233" t="n"/>
      <c r="AE206" s="233" t="n"/>
      <c r="AF206" s="233" t="n"/>
      <c r="AG206" s="233" t="n"/>
      <c r="AH206" s="233" t="n"/>
      <c r="AI206" s="233" t="n"/>
      <c r="AJ206" s="223">
        <f>SUM(E206:AI206)</f>
        <v/>
      </c>
      <c r="AK206" s="223">
        <f>AJ206*D206</f>
        <v/>
      </c>
    </row>
    <row r="207" ht="50" customHeight="1">
      <c r="A207" s="167" t="inlineStr">
        <is>
          <t xml:space="preserve">2.การบันทึกไฟล์การสอน ประชุม หรือกล้องวงจรปิดผ่านระบบออนไลน์ใน Drive </t>
        </is>
      </c>
      <c r="B207" s="169" t="inlineStr">
        <is>
          <t>ครั้ง</t>
        </is>
      </c>
      <c r="C207" s="169" t="n">
        <v>5</v>
      </c>
      <c r="D207" s="166">
        <f>C207*0.143</f>
        <v/>
      </c>
      <c r="E207" s="169" t="n"/>
      <c r="F207" s="169" t="n"/>
      <c r="G207" s="169" t="n"/>
      <c r="H207" s="169" t="n"/>
      <c r="I207" s="169" t="n"/>
      <c r="J207" s="169" t="n"/>
      <c r="K207" s="169" t="n"/>
      <c r="L207" s="169" t="n"/>
      <c r="M207" s="169" t="n"/>
      <c r="N207" s="169" t="n"/>
      <c r="O207" s="169" t="n"/>
      <c r="P207" s="169" t="n"/>
      <c r="Q207" s="169" t="n"/>
      <c r="R207" s="169" t="n"/>
      <c r="S207" s="169" t="n"/>
      <c r="T207" s="169" t="n"/>
      <c r="U207" s="169" t="n"/>
      <c r="V207" s="169" t="n"/>
      <c r="W207" s="169" t="n"/>
      <c r="X207" s="169" t="n"/>
      <c r="Y207" s="169" t="n"/>
      <c r="Z207" s="169" t="n"/>
      <c r="AA207" s="169" t="n"/>
      <c r="AB207" s="169" t="n"/>
      <c r="AC207" s="169" t="n"/>
      <c r="AD207" s="169" t="n"/>
      <c r="AE207" s="169" t="n"/>
      <c r="AF207" s="169" t="n"/>
      <c r="AG207" s="169" t="n"/>
      <c r="AH207" s="169" t="n"/>
      <c r="AI207" s="169" t="n"/>
      <c r="AJ207" s="223">
        <f>SUM(E207:AI207)</f>
        <v/>
      </c>
      <c r="AK207" s="223">
        <f>AJ207*D207</f>
        <v/>
      </c>
    </row>
    <row r="208" ht="25" customHeight="1">
      <c r="A208" s="167" t="inlineStr">
        <is>
          <t>3.การบันทึกภาพนิ่งหรือวิดิโอในกิจกรรมต่างๆ</t>
        </is>
      </c>
      <c r="B208" s="169" t="inlineStr">
        <is>
          <t>ครั้ง</t>
        </is>
      </c>
      <c r="C208" s="169" t="n">
        <v>60</v>
      </c>
      <c r="D208" s="166">
        <f>C208*0.143</f>
        <v/>
      </c>
      <c r="E208" s="169" t="n"/>
      <c r="F208" s="169" t="n"/>
      <c r="G208" s="169" t="n"/>
      <c r="H208" s="169" t="n"/>
      <c r="I208" s="169" t="n"/>
      <c r="J208" s="169" t="n"/>
      <c r="K208" s="169" t="n"/>
      <c r="L208" s="169" t="n"/>
      <c r="M208" s="169" t="n"/>
      <c r="N208" s="169" t="n"/>
      <c r="O208" s="169" t="n"/>
      <c r="P208" s="169" t="n"/>
      <c r="Q208" s="169" t="n"/>
      <c r="R208" s="169" t="n"/>
      <c r="S208" s="169" t="n"/>
      <c r="T208" s="169" t="n"/>
      <c r="U208" s="169" t="n"/>
      <c r="V208" s="169" t="n"/>
      <c r="W208" s="169" t="n"/>
      <c r="X208" s="169" t="n"/>
      <c r="Y208" s="169" t="n"/>
      <c r="Z208" s="169" t="n"/>
      <c r="AA208" s="169" t="n"/>
      <c r="AB208" s="169" t="n"/>
      <c r="AC208" s="169" t="n"/>
      <c r="AD208" s="169" t="n"/>
      <c r="AE208" s="169" t="n"/>
      <c r="AF208" s="169" t="n"/>
      <c r="AG208" s="169" t="n"/>
      <c r="AH208" s="169" t="n"/>
      <c r="AI208" s="169" t="n"/>
      <c r="AJ208" s="223">
        <f>SUM(E208:AI208)</f>
        <v/>
      </c>
      <c r="AK208" s="223">
        <f>AJ208*D208</f>
        <v/>
      </c>
    </row>
    <row r="209" ht="50" customHeight="1">
      <c r="A209" s="167" t="inlineStr">
        <is>
          <t>4.การ Update ข้อมูล Facebook website หรือ ไลน์ หน่วยงาน</t>
        </is>
      </c>
      <c r="B209" s="169" t="inlineStr">
        <is>
          <t>ครั้ง</t>
        </is>
      </c>
      <c r="C209" s="169" t="n">
        <v>10</v>
      </c>
      <c r="D209" s="166">
        <f>C209*0.143</f>
        <v/>
      </c>
      <c r="E209" s="169" t="n"/>
      <c r="F209" s="169" t="n"/>
      <c r="G209" s="169" t="n"/>
      <c r="H209" s="169" t="n"/>
      <c r="I209" s="169" t="n"/>
      <c r="J209" s="169" t="n"/>
      <c r="K209" s="169" t="n"/>
      <c r="L209" s="169" t="n"/>
      <c r="M209" s="169" t="n"/>
      <c r="N209" s="169" t="n"/>
      <c r="O209" s="169" t="n"/>
      <c r="P209" s="169" t="n"/>
      <c r="Q209" s="169" t="n"/>
      <c r="R209" s="169" t="n"/>
      <c r="S209" s="169" t="n"/>
      <c r="T209" s="169" t="n"/>
      <c r="U209" s="169" t="n"/>
      <c r="V209" s="169" t="n"/>
      <c r="W209" s="169" t="n"/>
      <c r="X209" s="169" t="n"/>
      <c r="Y209" s="169" t="n"/>
      <c r="Z209" s="169" t="n"/>
      <c r="AA209" s="169" t="n"/>
      <c r="AB209" s="169" t="n"/>
      <c r="AC209" s="169" t="n"/>
      <c r="AD209" s="169" t="n"/>
      <c r="AE209" s="169" t="n"/>
      <c r="AF209" s="169" t="n"/>
      <c r="AG209" s="169" t="n"/>
      <c r="AH209" s="169" t="n"/>
      <c r="AI209" s="169" t="n"/>
      <c r="AJ209" s="223">
        <f>SUM(E209:AI209)</f>
        <v/>
      </c>
      <c r="AK209" s="223">
        <f>AJ209*D209</f>
        <v/>
      </c>
    </row>
    <row r="210" ht="25" customHeight="1">
      <c r="A210" s="167" t="inlineStr">
        <is>
          <t>5.การนำเข้าข้อมูลผู้ใช้งานระบบอีเมล์</t>
        </is>
      </c>
      <c r="B210" s="169" t="inlineStr">
        <is>
          <t>ราย</t>
        </is>
      </c>
      <c r="C210" s="169" t="n">
        <v>5</v>
      </c>
      <c r="D210" s="166">
        <f>C210*0.143</f>
        <v/>
      </c>
      <c r="E210" s="169" t="n"/>
      <c r="F210" s="169" t="n"/>
      <c r="G210" s="169" t="n"/>
      <c r="H210" s="169" t="n"/>
      <c r="I210" s="169" t="n"/>
      <c r="J210" s="169" t="n"/>
      <c r="K210" s="169" t="n"/>
      <c r="L210" s="169" t="n"/>
      <c r="M210" s="169" t="n"/>
      <c r="N210" s="169" t="n"/>
      <c r="O210" s="169" t="n"/>
      <c r="P210" s="169" t="n"/>
      <c r="Q210" s="169" t="n"/>
      <c r="R210" s="169" t="n"/>
      <c r="S210" s="169" t="n"/>
      <c r="T210" s="169" t="n"/>
      <c r="U210" s="169" t="n"/>
      <c r="V210" s="169" t="n"/>
      <c r="W210" s="169" t="n"/>
      <c r="X210" s="169" t="n"/>
      <c r="Y210" s="169" t="n"/>
      <c r="Z210" s="169" t="n"/>
      <c r="AA210" s="169" t="n"/>
      <c r="AB210" s="169" t="n"/>
      <c r="AC210" s="169" t="n"/>
      <c r="AD210" s="169" t="n"/>
      <c r="AE210" s="169" t="n"/>
      <c r="AF210" s="169" t="n"/>
      <c r="AG210" s="169" t="n"/>
      <c r="AH210" s="169" t="n"/>
      <c r="AI210" s="169" t="n"/>
      <c r="AJ210" s="223">
        <f>SUM(E210:AI210)</f>
        <v/>
      </c>
      <c r="AK210" s="223">
        <f>AJ210*D210</f>
        <v/>
      </c>
    </row>
    <row r="211" ht="50" customHeight="1">
      <c r="A211" s="236" t="inlineStr">
        <is>
          <r>
            <t xml:space="preserve">6.การช่วยเหลือและให้คำแนะนำเกี่ยวกับงานสารสนเทศ สื่อการเรียนรู้ ระบบอีเมล์ </t>
          </r>
          <r>
            <rPr>
              <rFont val="TH SarabunPSK"/>
              <family val="2"/>
              <color rgb="FFFF0000"/>
              <sz val="16"/>
            </rPr>
            <t>พัฒนาระบบให้บริการอื่นๆ</t>
          </r>
        </is>
      </c>
      <c r="B211" s="169" t="inlineStr">
        <is>
          <t>ครั้ง</t>
        </is>
      </c>
      <c r="C211" s="169" t="n">
        <v>15</v>
      </c>
      <c r="D211" s="166">
        <f>C211*0.143</f>
        <v/>
      </c>
      <c r="E211" s="169" t="n"/>
      <c r="F211" s="169" t="n"/>
      <c r="G211" s="169" t="n"/>
      <c r="H211" s="169" t="n"/>
      <c r="I211" s="169" t="n"/>
      <c r="J211" s="169" t="n"/>
      <c r="K211" s="169" t="n"/>
      <c r="L211" s="169" t="n"/>
      <c r="M211" s="169" t="n"/>
      <c r="N211" s="169" t="n"/>
      <c r="O211" s="169" t="n"/>
      <c r="P211" s="169" t="n"/>
      <c r="Q211" s="169" t="n"/>
      <c r="R211" s="169" t="n"/>
      <c r="S211" s="169" t="n"/>
      <c r="T211" s="169" t="n"/>
      <c r="U211" s="169" t="n"/>
      <c r="V211" s="169" t="n"/>
      <c r="W211" s="169" t="n"/>
      <c r="X211" s="169" t="n"/>
      <c r="Y211" s="169" t="n"/>
      <c r="Z211" s="169" t="n"/>
      <c r="AA211" s="169" t="n"/>
      <c r="AB211" s="169" t="n"/>
      <c r="AC211" s="169" t="n"/>
      <c r="AD211" s="169" t="n"/>
      <c r="AE211" s="169" t="n"/>
      <c r="AF211" s="169" t="n"/>
      <c r="AG211" s="169" t="n"/>
      <c r="AH211" s="169" t="n"/>
      <c r="AI211" s="169" t="n"/>
      <c r="AJ211" s="223">
        <f>SUM(E211:AI211)</f>
        <v/>
      </c>
      <c r="AK211" s="223">
        <f>AJ211*D211</f>
        <v/>
      </c>
    </row>
    <row r="212" ht="50" customHeight="1">
      <c r="A212" s="167" t="inlineStr">
        <is>
          <t>7.การดูแลรักษาความปลอดภัยและการเข้าถึงไฟล์ระบบกล้องวงจรปิด</t>
        </is>
      </c>
      <c r="B212" s="169" t="inlineStr">
        <is>
          <t>ครั้ง</t>
        </is>
      </c>
      <c r="C212" s="169" t="n">
        <v>30</v>
      </c>
      <c r="D212" s="166">
        <f>C212*0.143</f>
        <v/>
      </c>
      <c r="E212" s="169" t="n"/>
      <c r="F212" s="169" t="n"/>
      <c r="G212" s="169" t="n"/>
      <c r="H212" s="169" t="n"/>
      <c r="I212" s="169" t="n"/>
      <c r="J212" s="169" t="n"/>
      <c r="K212" s="169" t="n"/>
      <c r="L212" s="169" t="n"/>
      <c r="M212" s="169" t="n"/>
      <c r="N212" s="169" t="n"/>
      <c r="O212" s="169" t="n"/>
      <c r="P212" s="169" t="n"/>
      <c r="Q212" s="169" t="n"/>
      <c r="R212" s="169" t="n"/>
      <c r="S212" s="169" t="n"/>
      <c r="T212" s="169" t="n"/>
      <c r="U212" s="169" t="n"/>
      <c r="V212" s="169" t="n"/>
      <c r="W212" s="169" t="n"/>
      <c r="X212" s="169" t="n"/>
      <c r="Y212" s="169" t="n"/>
      <c r="Z212" s="169" t="n"/>
      <c r="AA212" s="169" t="n"/>
      <c r="AB212" s="169" t="n"/>
      <c r="AC212" s="169" t="n"/>
      <c r="AD212" s="169" t="n"/>
      <c r="AE212" s="169" t="n"/>
      <c r="AF212" s="169" t="n"/>
      <c r="AG212" s="169" t="n"/>
      <c r="AH212" s="169" t="n"/>
      <c r="AI212" s="169" t="n"/>
      <c r="AJ212" s="223">
        <f>SUM(E212:AI212)</f>
        <v/>
      </c>
      <c r="AK212" s="223">
        <f>AJ212*D212</f>
        <v/>
      </c>
    </row>
    <row r="213" ht="25" customHeight="1">
      <c r="A213" s="230" t="inlineStr">
        <is>
          <t>8.ทำทะเบียนเบิก/ยืมรายการอุปกรณ์เทคโนโลยีสารสนเทศ</t>
        </is>
      </c>
      <c r="B213" s="169" t="inlineStr">
        <is>
          <t>วัน</t>
        </is>
      </c>
      <c r="C213" s="169" t="n">
        <v>15</v>
      </c>
      <c r="D213" s="166">
        <f>C213*0.143</f>
        <v/>
      </c>
      <c r="E213" s="169" t="n"/>
      <c r="F213" s="169" t="n"/>
      <c r="G213" s="169" t="n"/>
      <c r="H213" s="169" t="n"/>
      <c r="I213" s="169" t="n"/>
      <c r="J213" s="169" t="n"/>
      <c r="K213" s="169" t="n"/>
      <c r="L213" s="169" t="n"/>
      <c r="M213" s="169" t="n"/>
      <c r="N213" s="169" t="n"/>
      <c r="O213" s="169" t="n"/>
      <c r="P213" s="169" t="n"/>
      <c r="Q213" s="169" t="n"/>
      <c r="R213" s="169" t="n"/>
      <c r="S213" s="169" t="n"/>
      <c r="T213" s="169" t="n"/>
      <c r="U213" s="169" t="n"/>
      <c r="V213" s="169" t="n"/>
      <c r="W213" s="169" t="n"/>
      <c r="X213" s="169" t="n"/>
      <c r="Y213" s="169" t="n"/>
      <c r="Z213" s="169" t="n"/>
      <c r="AA213" s="169" t="n"/>
      <c r="AB213" s="169" t="n"/>
      <c r="AC213" s="169" t="n"/>
      <c r="AD213" s="169" t="n"/>
      <c r="AE213" s="169" t="n"/>
      <c r="AF213" s="169" t="n"/>
      <c r="AG213" s="169" t="n"/>
      <c r="AH213" s="169" t="n"/>
      <c r="AI213" s="169" t="n"/>
      <c r="AJ213" s="223">
        <f>SUM(E213:AI213)</f>
        <v/>
      </c>
      <c r="AK213" s="223">
        <f>AJ213*D213</f>
        <v/>
      </c>
    </row>
    <row r="214" ht="75" customHeight="1">
      <c r="A214" s="236" t="inlineStr">
        <is>
          <t>9.นำข้อมูลเข้าระบบฐานข้อมูลเบิกยืมอุปกรณ์เทคโนโลยีสารสนเทศ ดูแลและจัดการการใช้งานระบบเบิกยืมอุปกรณ์เทคโนโลยีสารสนเทศ</t>
        </is>
      </c>
      <c r="B214" s="231" t="inlineStr">
        <is>
          <t xml:space="preserve">ครั้ง </t>
        </is>
      </c>
      <c r="C214" s="231" t="n">
        <v>15</v>
      </c>
      <c r="D214" s="237">
        <f>C214*0.143</f>
        <v/>
      </c>
      <c r="E214" s="231" t="n"/>
      <c r="F214" s="231" t="n"/>
      <c r="G214" s="231" t="n"/>
      <c r="H214" s="231" t="n"/>
      <c r="I214" s="231" t="n"/>
      <c r="J214" s="231" t="n"/>
      <c r="K214" s="231" t="n"/>
      <c r="L214" s="231" t="n"/>
      <c r="M214" s="231" t="n"/>
      <c r="N214" s="231" t="n"/>
      <c r="O214" s="231" t="n"/>
      <c r="P214" s="231" t="n"/>
      <c r="Q214" s="231" t="n"/>
      <c r="R214" s="231" t="n"/>
      <c r="S214" s="231" t="n"/>
      <c r="T214" s="231" t="n"/>
      <c r="U214" s="231" t="n"/>
      <c r="V214" s="231" t="n"/>
      <c r="W214" s="231" t="n"/>
      <c r="X214" s="231" t="n"/>
      <c r="Y214" s="231" t="n"/>
      <c r="Z214" s="231" t="n"/>
      <c r="AA214" s="231" t="n"/>
      <c r="AB214" s="231" t="n"/>
      <c r="AC214" s="231" t="n"/>
      <c r="AD214" s="231" t="n"/>
      <c r="AE214" s="231" t="n"/>
      <c r="AF214" s="231" t="n"/>
      <c r="AG214" s="231" t="n"/>
      <c r="AH214" s="231" t="n"/>
      <c r="AI214" s="231" t="n"/>
      <c r="AJ214" s="238">
        <f>SUM(E214:AI214)</f>
        <v/>
      </c>
      <c r="AK214" s="238">
        <f>AJ214*D214</f>
        <v/>
      </c>
    </row>
    <row r="215" ht="25" customHeight="1">
      <c r="A215" s="158" t="inlineStr">
        <is>
          <t>งานบริการห้องสมุด และ ฐานข้อมูลการสืบค้น</t>
        </is>
      </c>
      <c r="B215" s="226" t="n"/>
      <c r="C215" s="227" t="n"/>
      <c r="D215" s="239" t="n"/>
      <c r="E215" s="227" t="n"/>
      <c r="F215" s="227" t="n"/>
      <c r="G215" s="227" t="n"/>
      <c r="H215" s="227" t="n"/>
      <c r="I215" s="227" t="n"/>
      <c r="J215" s="227" t="n"/>
      <c r="K215" s="227" t="n"/>
      <c r="L215" s="227" t="n"/>
      <c r="M215" s="227" t="n"/>
      <c r="N215" s="227" t="n"/>
      <c r="O215" s="227" t="n"/>
      <c r="P215" s="227" t="n"/>
      <c r="Q215" s="227" t="n"/>
      <c r="R215" s="227" t="n"/>
      <c r="S215" s="227" t="n"/>
      <c r="T215" s="227" t="n"/>
      <c r="U215" s="227" t="n"/>
      <c r="V215" s="227" t="n"/>
      <c r="W215" s="227" t="n"/>
      <c r="X215" s="227" t="n"/>
      <c r="Y215" s="227" t="n"/>
      <c r="Z215" s="227" t="n"/>
      <c r="AA215" s="227" t="n"/>
      <c r="AB215" s="227" t="n"/>
      <c r="AC215" s="227" t="n"/>
      <c r="AD215" s="227" t="n"/>
      <c r="AE215" s="227" t="n"/>
      <c r="AF215" s="227" t="n"/>
      <c r="AG215" s="227" t="n"/>
      <c r="AH215" s="227" t="n"/>
      <c r="AI215" s="227" t="n"/>
      <c r="AJ215" s="215" t="n"/>
      <c r="AK215" s="623" t="n"/>
    </row>
    <row r="216" ht="50" customHeight="1">
      <c r="A216" s="230" t="inlineStr">
        <is>
          <t>1.สร้างแบบสำรวจ แบบประเมินความต้องการ หรือประเมินความพึงพอใจผู้ใช้บริการงานห้องสมุด</t>
        </is>
      </c>
      <c r="B216" s="233" t="inlineStr">
        <is>
          <t>ฟอร์ม</t>
        </is>
      </c>
      <c r="C216" s="233" t="n">
        <v>15</v>
      </c>
      <c r="D216" s="234">
        <f>C216*0.143</f>
        <v/>
      </c>
      <c r="E216" s="233" t="n"/>
      <c r="F216" s="233" t="n"/>
      <c r="G216" s="233" t="n"/>
      <c r="H216" s="233" t="n"/>
      <c r="I216" s="233" t="n"/>
      <c r="J216" s="233" t="n"/>
      <c r="K216" s="233" t="n"/>
      <c r="L216" s="233" t="n"/>
      <c r="M216" s="233" t="n"/>
      <c r="N216" s="233" t="n"/>
      <c r="O216" s="233" t="n"/>
      <c r="P216" s="233" t="n"/>
      <c r="Q216" s="233" t="n"/>
      <c r="R216" s="233" t="n"/>
      <c r="S216" s="233" t="n"/>
      <c r="T216" s="233" t="n"/>
      <c r="U216" s="233" t="n"/>
      <c r="V216" s="233" t="n"/>
      <c r="W216" s="233" t="n"/>
      <c r="X216" s="233" t="n"/>
      <c r="Y216" s="233" t="n"/>
      <c r="Z216" s="233" t="n"/>
      <c r="AA216" s="233" t="n"/>
      <c r="AB216" s="233" t="n"/>
      <c r="AC216" s="233" t="n"/>
      <c r="AD216" s="233" t="n"/>
      <c r="AE216" s="233" t="n"/>
      <c r="AF216" s="233" t="n"/>
      <c r="AG216" s="233" t="n"/>
      <c r="AH216" s="233" t="n"/>
      <c r="AI216" s="233" t="n"/>
      <c r="AJ216" s="223">
        <f>SUM(E216:AI216)</f>
        <v/>
      </c>
      <c r="AK216" s="223">
        <f>AJ216*D216</f>
        <v/>
      </c>
    </row>
    <row r="217">
      <c r="A217" s="241" t="inlineStr">
        <is>
          <t>2.ทำทะเบียนรายการ หนังสือ ตำรา ฐานข้อมูลเพื่อการสืบค้น</t>
        </is>
      </c>
      <c r="B217" s="169" t="inlineStr">
        <is>
          <t>เล่ม</t>
        </is>
      </c>
      <c r="C217" s="169" t="n">
        <v>10</v>
      </c>
      <c r="D217" s="166">
        <f>C217*0.143</f>
        <v/>
      </c>
      <c r="E217" s="169" t="n"/>
      <c r="F217" s="169" t="n"/>
      <c r="G217" s="169" t="n"/>
      <c r="H217" s="169" t="n"/>
      <c r="I217" s="169" t="n"/>
      <c r="J217" s="169" t="n"/>
      <c r="K217" s="169" t="n"/>
      <c r="L217" s="169" t="n"/>
      <c r="M217" s="169" t="n"/>
      <c r="N217" s="169" t="n"/>
      <c r="O217" s="169" t="n"/>
      <c r="P217" s="169" t="n"/>
      <c r="Q217" s="169" t="n"/>
      <c r="R217" s="169" t="n"/>
      <c r="S217" s="169" t="n"/>
      <c r="T217" s="169" t="n"/>
      <c r="U217" s="169" t="n"/>
      <c r="V217" s="169" t="n"/>
      <c r="W217" s="169" t="n"/>
      <c r="X217" s="169" t="n"/>
      <c r="Y217" s="169" t="n"/>
      <c r="Z217" s="169" t="n"/>
      <c r="AA217" s="169" t="n"/>
      <c r="AB217" s="169" t="n"/>
      <c r="AC217" s="169" t="n"/>
      <c r="AD217" s="169" t="n"/>
      <c r="AE217" s="169" t="n"/>
      <c r="AF217" s="169" t="n"/>
      <c r="AG217" s="169" t="n"/>
      <c r="AH217" s="169" t="n"/>
      <c r="AI217" s="169" t="n"/>
      <c r="AJ217" s="223">
        <f>SUM(E217:AI217)</f>
        <v/>
      </c>
      <c r="AK217" s="223">
        <f>AJ217*D217</f>
        <v/>
      </c>
    </row>
    <row r="218">
      <c r="A218" s="242" t="inlineStr">
        <is>
          <t>3.นำข้อมูลเข้าระบบฐานข้อมูลเบิกยืมหนังสือ ตำราห้องสมุด</t>
        </is>
      </c>
      <c r="B218" s="169" t="inlineStr">
        <is>
          <t>เล่ม</t>
        </is>
      </c>
      <c r="C218" s="169" t="n">
        <v>10</v>
      </c>
      <c r="D218" s="166">
        <f>C218*0.143</f>
        <v/>
      </c>
      <c r="E218" s="169" t="n"/>
      <c r="F218" s="169" t="n"/>
      <c r="G218" s="169" t="n"/>
      <c r="H218" s="169" t="n"/>
      <c r="I218" s="169" t="n"/>
      <c r="J218" s="169" t="n"/>
      <c r="K218" s="169" t="n"/>
      <c r="L218" s="169" t="n"/>
      <c r="M218" s="169" t="n"/>
      <c r="N218" s="169" t="n"/>
      <c r="O218" s="169" t="n"/>
      <c r="P218" s="169" t="n"/>
      <c r="Q218" s="169" t="n"/>
      <c r="R218" s="169" t="n"/>
      <c r="S218" s="169" t="n"/>
      <c r="T218" s="169" t="n"/>
      <c r="U218" s="169" t="n"/>
      <c r="V218" s="169" t="n"/>
      <c r="W218" s="169" t="n"/>
      <c r="X218" s="169" t="n"/>
      <c r="Y218" s="169" t="n"/>
      <c r="Z218" s="169" t="n"/>
      <c r="AA218" s="169" t="n"/>
      <c r="AB218" s="169" t="n"/>
      <c r="AC218" s="169" t="n"/>
      <c r="AD218" s="169" t="n"/>
      <c r="AE218" s="169" t="n"/>
      <c r="AF218" s="169" t="n"/>
      <c r="AG218" s="169" t="n"/>
      <c r="AH218" s="169" t="n"/>
      <c r="AI218" s="169" t="n"/>
      <c r="AJ218" s="223">
        <f>SUM(E218:AI218)</f>
        <v/>
      </c>
      <c r="AK218" s="223">
        <f>AJ218*D218</f>
        <v/>
      </c>
    </row>
    <row r="219" ht="25" customHeight="1">
      <c r="A219" s="236" t="inlineStr">
        <is>
          <t>4.พัฒนาและปรับปรุงแอฟพลิเคชันห้องสมุด (DEV)</t>
        </is>
      </c>
      <c r="B219" s="169" t="inlineStr">
        <is>
          <t>วัน</t>
        </is>
      </c>
      <c r="C219" s="169" t="inlineStr">
        <is>
          <t>เหมา</t>
        </is>
      </c>
      <c r="D219" s="166" t="n">
        <v>30</v>
      </c>
      <c r="E219" s="169" t="n"/>
      <c r="F219" s="169" t="n"/>
      <c r="G219" s="169" t="n"/>
      <c r="H219" s="169" t="n"/>
      <c r="I219" s="169" t="n"/>
      <c r="J219" s="169" t="n"/>
      <c r="K219" s="169" t="n"/>
      <c r="L219" s="169" t="n"/>
      <c r="M219" s="169" t="n"/>
      <c r="N219" s="169" t="n"/>
      <c r="O219" s="169" t="n"/>
      <c r="P219" s="169" t="n"/>
      <c r="Q219" s="169" t="n"/>
      <c r="R219" s="169" t="n"/>
      <c r="S219" s="169" t="n"/>
      <c r="T219" s="169" t="n"/>
      <c r="U219" s="169" t="n"/>
      <c r="V219" s="169" t="n"/>
      <c r="W219" s="169" t="n"/>
      <c r="X219" s="169" t="n"/>
      <c r="Y219" s="169" t="n"/>
      <c r="Z219" s="169" t="n"/>
      <c r="AA219" s="169" t="n"/>
      <c r="AB219" s="169" t="n"/>
      <c r="AC219" s="169" t="n"/>
      <c r="AD219" s="169" t="n"/>
      <c r="AE219" s="169" t="n"/>
      <c r="AF219" s="169" t="n"/>
      <c r="AG219" s="169" t="n"/>
      <c r="AH219" s="169" t="n"/>
      <c r="AI219" s="169" t="n"/>
      <c r="AJ219" s="223">
        <f>SUM(E219:AI219)</f>
        <v/>
      </c>
      <c r="AK219" s="223">
        <f>AJ219*D219</f>
        <v/>
      </c>
    </row>
    <row r="220" ht="50" customHeight="1">
      <c r="A220" s="236" t="inlineStr">
        <is>
          <t>5.ให้ความช่วยเหลือและแนะนำการแก้ปัญหาแก่ผู้ใช้บริการงานห้องสมุด</t>
        </is>
      </c>
      <c r="B220" s="169" t="inlineStr">
        <is>
          <t>ราย</t>
        </is>
      </c>
      <c r="C220" s="169" t="n">
        <v>5</v>
      </c>
      <c r="D220" s="166">
        <f>C220*0.143</f>
        <v/>
      </c>
      <c r="E220" s="169" t="n"/>
      <c r="F220" s="169" t="n"/>
      <c r="G220" s="169" t="n"/>
      <c r="H220" s="169" t="n"/>
      <c r="I220" s="169" t="n"/>
      <c r="J220" s="169" t="n"/>
      <c r="K220" s="169" t="n"/>
      <c r="L220" s="169" t="n"/>
      <c r="M220" s="169" t="n"/>
      <c r="N220" s="169" t="n"/>
      <c r="O220" s="169" t="n"/>
      <c r="P220" s="169" t="n"/>
      <c r="Q220" s="169" t="n"/>
      <c r="R220" s="169" t="n"/>
      <c r="S220" s="169" t="n"/>
      <c r="T220" s="169" t="n"/>
      <c r="U220" s="169" t="n"/>
      <c r="V220" s="169" t="n"/>
      <c r="W220" s="169" t="n"/>
      <c r="X220" s="169" t="n"/>
      <c r="Y220" s="169" t="n"/>
      <c r="Z220" s="169" t="n"/>
      <c r="AA220" s="169" t="n"/>
      <c r="AB220" s="169" t="n"/>
      <c r="AC220" s="169" t="n"/>
      <c r="AD220" s="169" t="n"/>
      <c r="AE220" s="169" t="n"/>
      <c r="AF220" s="169" t="n"/>
      <c r="AG220" s="169" t="n"/>
      <c r="AH220" s="169" t="n"/>
      <c r="AI220" s="169" t="n"/>
      <c r="AJ220" s="223">
        <f>SUM(E220:AI220)</f>
        <v/>
      </c>
      <c r="AK220" s="223">
        <f>AJ220*D220</f>
        <v/>
      </c>
    </row>
    <row r="221">
      <c r="A221" s="183" t="inlineStr">
        <is>
          <t>การเตรียมการ/จัดประชุม</t>
        </is>
      </c>
      <c r="B221" s="243" t="n"/>
      <c r="C221" s="244" t="n"/>
      <c r="D221" s="245" t="n"/>
      <c r="E221" s="246" t="n"/>
      <c r="F221" s="246" t="n"/>
      <c r="G221" s="246" t="n"/>
      <c r="H221" s="246" t="n"/>
      <c r="I221" s="246" t="n"/>
      <c r="J221" s="246" t="n"/>
      <c r="K221" s="246" t="n"/>
      <c r="L221" s="246" t="n"/>
      <c r="M221" s="246" t="n"/>
      <c r="N221" s="246" t="n"/>
      <c r="O221" s="246" t="n"/>
      <c r="P221" s="246" t="n"/>
      <c r="Q221" s="246" t="n"/>
      <c r="R221" s="246" t="n"/>
      <c r="S221" s="246" t="n"/>
      <c r="T221" s="246" t="n"/>
      <c r="U221" s="246" t="n"/>
      <c r="V221" s="246" t="n"/>
      <c r="W221" s="246" t="n"/>
      <c r="X221" s="246" t="n"/>
      <c r="Y221" s="246" t="n"/>
      <c r="Z221" s="246" t="n"/>
      <c r="AA221" s="246" t="n"/>
      <c r="AB221" s="246" t="n"/>
      <c r="AC221" s="246" t="n"/>
      <c r="AD221" s="246" t="n"/>
      <c r="AE221" s="246" t="n"/>
      <c r="AF221" s="246" t="n"/>
      <c r="AG221" s="246" t="n"/>
      <c r="AH221" s="246" t="n"/>
      <c r="AI221" s="246" t="n"/>
      <c r="AJ221" s="247" t="n"/>
      <c r="AK221" s="609" t="n"/>
    </row>
    <row r="222" ht="25" customHeight="1">
      <c r="A222" s="248" t="inlineStr">
        <is>
          <t xml:space="preserve"> - จัดเตรียมไฟล์ Power point สำหรับนำเสนอข้อมูล</t>
        </is>
      </c>
      <c r="B222" s="249" t="inlineStr">
        <is>
          <t>ครั้ง</t>
        </is>
      </c>
      <c r="C222" s="249" t="n">
        <v>60</v>
      </c>
      <c r="D222" s="250">
        <f>C222*0.143</f>
        <v/>
      </c>
      <c r="E222" s="251" t="n"/>
      <c r="F222" s="251" t="n"/>
      <c r="G222" s="251" t="n"/>
      <c r="H222" s="251" t="n"/>
      <c r="I222" s="251" t="n"/>
      <c r="J222" s="251" t="n"/>
      <c r="K222" s="251" t="n"/>
      <c r="L222" s="251" t="n"/>
      <c r="M222" s="251" t="n"/>
      <c r="N222" s="251" t="n"/>
      <c r="O222" s="251" t="n"/>
      <c r="P222" s="251" t="n"/>
      <c r="Q222" s="251" t="n"/>
      <c r="R222" s="251" t="n"/>
      <c r="S222" s="251" t="n"/>
      <c r="T222" s="251" t="n"/>
      <c r="U222" s="251" t="n"/>
      <c r="V222" s="251" t="n"/>
      <c r="W222" s="251" t="n"/>
      <c r="X222" s="251" t="n"/>
      <c r="Y222" s="251" t="n"/>
      <c r="Z222" s="251" t="n"/>
      <c r="AA222" s="251" t="n"/>
      <c r="AB222" s="251" t="n"/>
      <c r="AC222" s="251" t="n"/>
      <c r="AD222" s="251" t="n"/>
      <c r="AE222" s="251" t="n"/>
      <c r="AF222" s="251" t="n"/>
      <c r="AG222" s="251" t="n"/>
      <c r="AH222" s="251" t="n"/>
      <c r="AI222" s="251" t="n"/>
      <c r="AJ222" s="252">
        <f>SUM(E222:AI222)</f>
        <v/>
      </c>
      <c r="AK222" s="252">
        <f>AJ222*D222</f>
        <v/>
      </c>
    </row>
    <row r="223" ht="25" customHeight="1">
      <c r="A223" s="253" t="inlineStr">
        <is>
          <t xml:space="preserve"> - จัดทำเอกสารประกอบการประชุม/อบรม ฯลฯ</t>
        </is>
      </c>
      <c r="B223" s="254" t="inlineStr">
        <is>
          <t>ครั้ง</t>
        </is>
      </c>
      <c r="C223" s="251" t="n">
        <v>15</v>
      </c>
      <c r="D223" s="250">
        <f>C223*0.143</f>
        <v/>
      </c>
      <c r="E223" s="251" t="n"/>
      <c r="F223" s="251" t="n"/>
      <c r="G223" s="251" t="n"/>
      <c r="H223" s="251" t="n"/>
      <c r="I223" s="251" t="n"/>
      <c r="J223" s="251" t="n"/>
      <c r="K223" s="251" t="n"/>
      <c r="L223" s="251" t="n"/>
      <c r="M223" s="251" t="n"/>
      <c r="N223" s="251" t="n"/>
      <c r="O223" s="251" t="n"/>
      <c r="P223" s="251" t="n"/>
      <c r="Q223" s="251" t="n"/>
      <c r="R223" s="251" t="n"/>
      <c r="S223" s="251" t="n"/>
      <c r="T223" s="251" t="n"/>
      <c r="U223" s="251" t="n"/>
      <c r="V223" s="251" t="n"/>
      <c r="W223" s="251" t="n"/>
      <c r="X223" s="251" t="n"/>
      <c r="Y223" s="251" t="n"/>
      <c r="Z223" s="251" t="n"/>
      <c r="AA223" s="251" t="n"/>
      <c r="AB223" s="251" t="n"/>
      <c r="AC223" s="251" t="n"/>
      <c r="AD223" s="251" t="n"/>
      <c r="AE223" s="251" t="n"/>
      <c r="AF223" s="251" t="n"/>
      <c r="AG223" s="251" t="n"/>
      <c r="AH223" s="251" t="n"/>
      <c r="AI223" s="251" t="n"/>
      <c r="AJ223" s="252">
        <f>SUM(E223:AI223)</f>
        <v/>
      </c>
      <c r="AK223" s="252">
        <f>AJ223*D223</f>
        <v/>
      </c>
    </row>
    <row r="224">
      <c r="A224" s="255" t="inlineStr">
        <is>
          <t xml:space="preserve"> - การจัดเตรียมสถานที่ อุปกรณ์ สนับสนุนการประชุม</t>
        </is>
      </c>
      <c r="B224" s="256" t="inlineStr">
        <is>
          <t>ครั้ง</t>
        </is>
      </c>
      <c r="C224" s="257" t="n">
        <v>30</v>
      </c>
      <c r="D224" s="250">
        <f>C224*0.143</f>
        <v/>
      </c>
      <c r="E224" s="258" t="n"/>
      <c r="F224" s="258" t="n"/>
      <c r="G224" s="258" t="n"/>
      <c r="H224" s="258" t="n"/>
      <c r="I224" s="258" t="n"/>
      <c r="J224" s="258" t="n"/>
      <c r="K224" s="258" t="n"/>
      <c r="L224" s="258" t="n"/>
      <c r="M224" s="258" t="n"/>
      <c r="N224" s="258" t="n"/>
      <c r="O224" s="258" t="n"/>
      <c r="P224" s="258" t="n"/>
      <c r="Q224" s="258" t="n"/>
      <c r="R224" s="258" t="n"/>
      <c r="S224" s="258" t="n"/>
      <c r="T224" s="258" t="n"/>
      <c r="U224" s="258" t="n"/>
      <c r="V224" s="258" t="n"/>
      <c r="W224" s="258" t="n"/>
      <c r="X224" s="258" t="n"/>
      <c r="Y224" s="258" t="n"/>
      <c r="Z224" s="258" t="n"/>
      <c r="AA224" s="258" t="n"/>
      <c r="AB224" s="258" t="n"/>
      <c r="AC224" s="258" t="n"/>
      <c r="AD224" s="258" t="n"/>
      <c r="AE224" s="258" t="n"/>
      <c r="AF224" s="258" t="n"/>
      <c r="AG224" s="258" t="n"/>
      <c r="AH224" s="258" t="n"/>
      <c r="AI224" s="258" t="n"/>
      <c r="AJ224" s="252">
        <f>SUM(E224:AI224)</f>
        <v/>
      </c>
      <c r="AK224" s="252">
        <f>AJ224*D224</f>
        <v/>
      </c>
    </row>
    <row r="225">
      <c r="A225" s="255" t="inlineStr">
        <is>
          <t xml:space="preserve"> - ช่วยลงทะเบียน/เอกสาร</t>
        </is>
      </c>
      <c r="B225" s="259" t="inlineStr">
        <is>
          <t>ครั้ง</t>
        </is>
      </c>
      <c r="C225" s="260" t="n">
        <v>30</v>
      </c>
      <c r="D225" s="250">
        <f>C225*0.143</f>
        <v/>
      </c>
      <c r="E225" s="261" t="n"/>
      <c r="F225" s="261" t="n"/>
      <c r="G225" s="261" t="n"/>
      <c r="H225" s="261" t="n"/>
      <c r="I225" s="261" t="n"/>
      <c r="J225" s="261" t="n"/>
      <c r="K225" s="261" t="n"/>
      <c r="L225" s="261" t="n"/>
      <c r="M225" s="261" t="n"/>
      <c r="N225" s="261" t="n"/>
      <c r="O225" s="261" t="n"/>
      <c r="P225" s="261" t="n"/>
      <c r="Q225" s="261" t="n"/>
      <c r="R225" s="261" t="n"/>
      <c r="S225" s="261" t="n"/>
      <c r="T225" s="261" t="n"/>
      <c r="U225" s="261" t="n"/>
      <c r="V225" s="261" t="n"/>
      <c r="W225" s="261" t="n"/>
      <c r="X225" s="261" t="n"/>
      <c r="Y225" s="261" t="n"/>
      <c r="Z225" s="261" t="n"/>
      <c r="AA225" s="261" t="n"/>
      <c r="AB225" s="261" t="n"/>
      <c r="AC225" s="261" t="n"/>
      <c r="AD225" s="261" t="n"/>
      <c r="AE225" s="261" t="n"/>
      <c r="AF225" s="261" t="n"/>
      <c r="AG225" s="261" t="n"/>
      <c r="AH225" s="261" t="n"/>
      <c r="AI225" s="261" t="n"/>
      <c r="AJ225" s="252">
        <f>SUM(E225:AI225)</f>
        <v/>
      </c>
      <c r="AK225" s="252">
        <f>AJ225*D225</f>
        <v/>
      </c>
    </row>
    <row r="226">
      <c r="A226" s="255" t="inlineStr">
        <is>
          <t xml:space="preserve"> - จัดเตรียมอาหารว่าง/อาหารกลางวัน</t>
        </is>
      </c>
      <c r="B226" s="259" t="inlineStr">
        <is>
          <t>ครั้ง</t>
        </is>
      </c>
      <c r="C226" s="260" t="n">
        <v>30</v>
      </c>
      <c r="D226" s="250">
        <f>C226*0.143</f>
        <v/>
      </c>
      <c r="E226" s="261" t="n"/>
      <c r="F226" s="261" t="n"/>
      <c r="G226" s="261" t="n"/>
      <c r="H226" s="261" t="n"/>
      <c r="I226" s="261" t="n"/>
      <c r="J226" s="261" t="n"/>
      <c r="K226" s="261" t="n"/>
      <c r="L226" s="261" t="n"/>
      <c r="M226" s="261" t="n"/>
      <c r="N226" s="261" t="n"/>
      <c r="O226" s="261" t="n"/>
      <c r="P226" s="261" t="n"/>
      <c r="Q226" s="261" t="n"/>
      <c r="R226" s="261" t="n"/>
      <c r="S226" s="261" t="n"/>
      <c r="T226" s="261" t="n"/>
      <c r="U226" s="261" t="n"/>
      <c r="V226" s="261" t="n"/>
      <c r="W226" s="261" t="n"/>
      <c r="X226" s="261" t="n"/>
      <c r="Y226" s="261" t="n"/>
      <c r="Z226" s="261" t="n"/>
      <c r="AA226" s="261" t="n"/>
      <c r="AB226" s="261" t="n"/>
      <c r="AC226" s="261" t="n"/>
      <c r="AD226" s="261" t="n"/>
      <c r="AE226" s="261" t="n"/>
      <c r="AF226" s="261" t="n"/>
      <c r="AG226" s="261" t="n"/>
      <c r="AH226" s="261" t="n"/>
      <c r="AI226" s="261" t="n"/>
      <c r="AJ226" s="252">
        <f>SUM(E226:AI226)</f>
        <v/>
      </c>
      <c r="AK226" s="252">
        <f>AJ226*D226</f>
        <v/>
      </c>
    </row>
    <row r="227">
      <c r="A227" s="262" t="inlineStr">
        <is>
          <t xml:space="preserve"> - จัดเตรียมของรางวัล</t>
        </is>
      </c>
      <c r="B227" s="263" t="inlineStr">
        <is>
          <t>ครั้ง</t>
        </is>
      </c>
      <c r="C227" s="264" t="n">
        <v>30</v>
      </c>
      <c r="D227" s="250">
        <f>C227*0.143</f>
        <v/>
      </c>
      <c r="E227" s="265" t="n"/>
      <c r="F227" s="265" t="n"/>
      <c r="G227" s="265" t="n"/>
      <c r="H227" s="265" t="n"/>
      <c r="I227" s="265" t="n"/>
      <c r="J227" s="265" t="n"/>
      <c r="K227" s="265" t="n"/>
      <c r="L227" s="265" t="n"/>
      <c r="M227" s="265" t="n"/>
      <c r="N227" s="265" t="n"/>
      <c r="O227" s="265" t="n"/>
      <c r="P227" s="265" t="n"/>
      <c r="Q227" s="265" t="n"/>
      <c r="R227" s="265" t="n"/>
      <c r="S227" s="265" t="n"/>
      <c r="T227" s="265" t="n"/>
      <c r="U227" s="265" t="n"/>
      <c r="V227" s="265" t="n"/>
      <c r="W227" s="265" t="n"/>
      <c r="X227" s="265" t="n"/>
      <c r="Y227" s="265" t="n"/>
      <c r="Z227" s="265" t="n"/>
      <c r="AA227" s="265" t="n"/>
      <c r="AB227" s="265" t="n"/>
      <c r="AC227" s="265" t="n"/>
      <c r="AD227" s="265" t="n"/>
      <c r="AE227" s="265" t="n"/>
      <c r="AF227" s="265" t="n"/>
      <c r="AG227" s="265" t="n"/>
      <c r="AH227" s="265" t="n"/>
      <c r="AI227" s="265" t="n"/>
      <c r="AJ227" s="252">
        <f>SUM(E227:AI227)</f>
        <v/>
      </c>
      <c r="AK227" s="252">
        <f>AJ227*D227</f>
        <v/>
      </c>
    </row>
    <row r="228" ht="50" customHeight="1">
      <c r="A228" s="253" t="inlineStr">
        <is>
          <t xml:space="preserve"> - จัดทำการประเมินความพึงพอใจประกอบการประชุม/อบรม ฯลฯ</t>
        </is>
      </c>
      <c r="B228" s="266" t="inlineStr">
        <is>
          <t>ครั้ง</t>
        </is>
      </c>
      <c r="C228" s="267" t="n">
        <v>60</v>
      </c>
      <c r="D228" s="250">
        <f>C228*0.143</f>
        <v/>
      </c>
      <c r="E228" s="251" t="n"/>
      <c r="F228" s="251" t="n"/>
      <c r="G228" s="251" t="n"/>
      <c r="H228" s="251" t="n"/>
      <c r="I228" s="251" t="n"/>
      <c r="J228" s="251" t="n"/>
      <c r="K228" s="251" t="n"/>
      <c r="L228" s="251" t="n"/>
      <c r="M228" s="251" t="n"/>
      <c r="N228" s="251" t="n"/>
      <c r="O228" s="251" t="n"/>
      <c r="P228" s="251" t="n"/>
      <c r="Q228" s="251" t="n"/>
      <c r="R228" s="251" t="n"/>
      <c r="S228" s="251" t="n"/>
      <c r="T228" s="251" t="n"/>
      <c r="U228" s="251" t="n"/>
      <c r="V228" s="251" t="n"/>
      <c r="W228" s="251" t="n"/>
      <c r="X228" s="251" t="n"/>
      <c r="Y228" s="251" t="n"/>
      <c r="Z228" s="251" t="n"/>
      <c r="AA228" s="251" t="n"/>
      <c r="AB228" s="251" t="n"/>
      <c r="AC228" s="251" t="n"/>
      <c r="AD228" s="251" t="n"/>
      <c r="AE228" s="251" t="n"/>
      <c r="AF228" s="251" t="n"/>
      <c r="AG228" s="251" t="n"/>
      <c r="AH228" s="251" t="n"/>
      <c r="AI228" s="251" t="n"/>
      <c r="AJ228" s="252">
        <f>SUM(E228:AI228)</f>
        <v/>
      </c>
      <c r="AK228" s="252">
        <f>AJ228*D228</f>
        <v/>
      </c>
    </row>
    <row r="229">
      <c r="A229" s="726" t="inlineStr">
        <is>
          <t>งานอื่น ๆ (ส่วนกลาง)</t>
        </is>
      </c>
      <c r="B229" s="268" t="n"/>
      <c r="C229" s="268" t="n"/>
      <c r="D229" s="268" t="n"/>
      <c r="E229" s="268" t="n"/>
      <c r="F229" s="268" t="n"/>
      <c r="G229" s="268" t="n"/>
      <c r="H229" s="268" t="n"/>
      <c r="I229" s="268" t="n"/>
      <c r="J229" s="268" t="n"/>
      <c r="K229" s="268" t="n"/>
      <c r="L229" s="268" t="n"/>
      <c r="M229" s="268" t="n"/>
      <c r="N229" s="268" t="n"/>
      <c r="O229" s="268" t="n"/>
      <c r="P229" s="268" t="n"/>
      <c r="Q229" s="268" t="n"/>
      <c r="R229" s="268" t="n"/>
      <c r="S229" s="268" t="n"/>
      <c r="T229" s="268" t="n"/>
      <c r="U229" s="268" t="n"/>
      <c r="V229" s="268" t="n"/>
      <c r="W229" s="268" t="n"/>
      <c r="X229" s="268" t="n"/>
      <c r="Y229" s="268" t="n"/>
      <c r="Z229" s="268" t="n"/>
      <c r="AA229" s="268" t="n"/>
      <c r="AB229" s="268" t="n"/>
      <c r="AC229" s="268" t="n"/>
      <c r="AD229" s="268" t="n"/>
      <c r="AE229" s="268" t="n"/>
      <c r="AF229" s="268" t="n"/>
      <c r="AG229" s="268" t="n"/>
      <c r="AH229" s="268" t="n"/>
      <c r="AI229" s="268" t="n"/>
      <c r="AJ229" s="268" t="n"/>
      <c r="AK229" s="616" t="n"/>
    </row>
    <row r="230" ht="25" customHeight="1">
      <c r="A230" s="269" t="inlineStr">
        <is>
          <t xml:space="preserve"> - จัดเตรียมอุปกรณ์สถานที่สนับสนุนการสอบแพทย์ นิสิตแพทย์</t>
        </is>
      </c>
      <c r="B230" s="270" t="inlineStr">
        <is>
          <t xml:space="preserve">ครั้ง </t>
        </is>
      </c>
      <c r="C230" s="271" t="inlineStr">
        <is>
          <t>เหมา</t>
        </is>
      </c>
      <c r="D230" s="271" t="n">
        <v>2.15</v>
      </c>
      <c r="E230" s="272" t="n"/>
      <c r="F230" s="272" t="n"/>
      <c r="G230" s="272" t="n"/>
      <c r="H230" s="272" t="n"/>
      <c r="I230" s="272" t="n"/>
      <c r="J230" s="272" t="n"/>
      <c r="K230" s="272" t="n"/>
      <c r="L230" s="272" t="n"/>
      <c r="M230" s="272" t="n"/>
      <c r="N230" s="272" t="n"/>
      <c r="O230" s="272" t="n"/>
      <c r="P230" s="272" t="n"/>
      <c r="Q230" s="272" t="n"/>
      <c r="R230" s="272" t="n"/>
      <c r="S230" s="272" t="n"/>
      <c r="T230" s="272" t="n"/>
      <c r="U230" s="272" t="n"/>
      <c r="V230" s="272" t="n"/>
      <c r="W230" s="272" t="n"/>
      <c r="X230" s="272" t="n"/>
      <c r="Y230" s="272" t="n"/>
      <c r="Z230" s="272" t="n"/>
      <c r="AA230" s="272" t="n"/>
      <c r="AB230" s="272" t="n"/>
      <c r="AC230" s="272" t="n"/>
      <c r="AD230" s="272" t="n"/>
      <c r="AE230" s="272" t="n"/>
      <c r="AF230" s="272" t="n"/>
      <c r="AG230" s="272" t="n"/>
      <c r="AH230" s="272" t="n"/>
      <c r="AI230" s="272" t="n"/>
      <c r="AJ230" s="170">
        <f>SUM(E230:AI230)</f>
        <v/>
      </c>
      <c r="AK230" s="170">
        <f>AJ230*D230</f>
        <v/>
      </c>
    </row>
    <row r="231" ht="25" customHeight="1">
      <c r="A231" s="273" t="inlineStr">
        <is>
          <t xml:space="preserve"> - ตรวจสอบ/เบิก/แลก ยาน้ำ เวชภัณฑ์ ครุภัณฑ์ ประจำเดือน</t>
        </is>
      </c>
      <c r="B231" s="766" t="inlineStr">
        <is>
          <t>1ครั้ง/เดือน</t>
        </is>
      </c>
      <c r="C231" s="767" t="n"/>
      <c r="D231" s="274" t="n">
        <v>4.29</v>
      </c>
      <c r="E231" s="275" t="n"/>
      <c r="F231" s="275" t="n"/>
      <c r="G231" s="275" t="n"/>
      <c r="H231" s="275" t="n"/>
      <c r="I231" s="275" t="n"/>
      <c r="J231" s="275" t="n"/>
      <c r="K231" s="275" t="n"/>
      <c r="L231" s="275" t="n"/>
      <c r="M231" s="275" t="n"/>
      <c r="N231" s="275" t="n"/>
      <c r="O231" s="275" t="n"/>
      <c r="P231" s="275" t="n"/>
      <c r="Q231" s="275" t="n"/>
      <c r="R231" s="275" t="n"/>
      <c r="S231" s="275" t="n"/>
      <c r="T231" s="275" t="n"/>
      <c r="U231" s="275" t="n"/>
      <c r="V231" s="275" t="n"/>
      <c r="W231" s="275" t="n"/>
      <c r="X231" s="275" t="n"/>
      <c r="Y231" s="275" t="n"/>
      <c r="Z231" s="275" t="n"/>
      <c r="AA231" s="275" t="n"/>
      <c r="AB231" s="275" t="n"/>
      <c r="AC231" s="275" t="n"/>
      <c r="AD231" s="275" t="n"/>
      <c r="AE231" s="275" t="n"/>
      <c r="AF231" s="275" t="n"/>
      <c r="AG231" s="275" t="n"/>
      <c r="AH231" s="276" t="n"/>
      <c r="AI231" s="276" t="n"/>
      <c r="AJ231" s="170">
        <f>SUM(E231:AI231)</f>
        <v/>
      </c>
      <c r="AK231" s="170">
        <f>IF(AJ231,4.29,0)</f>
        <v/>
      </c>
    </row>
    <row r="232" ht="25" customHeight="1">
      <c r="A232" s="273" t="inlineStr">
        <is>
          <t xml:space="preserve"> - OK ของ / เวชภัณฑ์</t>
        </is>
      </c>
      <c r="B232" s="275" t="inlineStr">
        <is>
          <t>ครั้ง</t>
        </is>
      </c>
      <c r="C232" s="277" t="inlineStr">
        <is>
          <t>เหมา</t>
        </is>
      </c>
      <c r="D232" s="275" t="n">
        <v>1.43</v>
      </c>
      <c r="E232" s="275" t="n"/>
      <c r="F232" s="275" t="n"/>
      <c r="G232" s="275" t="n"/>
      <c r="H232" s="275" t="n"/>
      <c r="I232" s="275" t="n"/>
      <c r="J232" s="275" t="n"/>
      <c r="K232" s="275" t="n"/>
      <c r="L232" s="275" t="n"/>
      <c r="M232" s="275" t="n"/>
      <c r="N232" s="275" t="n"/>
      <c r="O232" s="275" t="n"/>
      <c r="P232" s="275" t="n"/>
      <c r="Q232" s="275" t="n"/>
      <c r="R232" s="275" t="n"/>
      <c r="S232" s="275" t="n"/>
      <c r="T232" s="275" t="n"/>
      <c r="U232" s="275" t="n"/>
      <c r="V232" s="275" t="n"/>
      <c r="W232" s="275" t="n"/>
      <c r="X232" s="275" t="n"/>
      <c r="Y232" s="275" t="n"/>
      <c r="Z232" s="275" t="n"/>
      <c r="AA232" s="275" t="n"/>
      <c r="AB232" s="275" t="n"/>
      <c r="AC232" s="275" t="n"/>
      <c r="AD232" s="275" t="n"/>
      <c r="AE232" s="275" t="n"/>
      <c r="AF232" s="275" t="n"/>
      <c r="AG232" s="275" t="n"/>
      <c r="AH232" s="276" t="n"/>
      <c r="AI232" s="276" t="n"/>
      <c r="AJ232" s="170">
        <f>SUM(E232:AI232)</f>
        <v/>
      </c>
      <c r="AK232" s="170">
        <f>AJ232*D232</f>
        <v/>
      </c>
    </row>
    <row r="233" ht="25" customHeight="1">
      <c r="A233" s="273" t="inlineStr">
        <is>
          <t xml:space="preserve"> - กิจกรรม 5 ส</t>
        </is>
      </c>
      <c r="B233" s="766" t="inlineStr">
        <is>
          <t>1ครั้ง/เดือน</t>
        </is>
      </c>
      <c r="C233" s="767" t="n"/>
      <c r="D233" s="275" t="n">
        <v>8.58</v>
      </c>
      <c r="E233" s="275" t="n"/>
      <c r="F233" s="275" t="n"/>
      <c r="G233" s="275" t="n"/>
      <c r="H233" s="275" t="n"/>
      <c r="I233" s="275" t="n"/>
      <c r="J233" s="275" t="n"/>
      <c r="K233" s="275" t="n"/>
      <c r="L233" s="275" t="n"/>
      <c r="M233" s="275" t="n"/>
      <c r="N233" s="275" t="n"/>
      <c r="O233" s="275" t="n"/>
      <c r="P233" s="275" t="n"/>
      <c r="Q233" s="275" t="n"/>
      <c r="R233" s="275" t="n"/>
      <c r="S233" s="275" t="n"/>
      <c r="T233" s="275" t="n"/>
      <c r="U233" s="275" t="n"/>
      <c r="V233" s="275" t="n"/>
      <c r="W233" s="275" t="n"/>
      <c r="X233" s="275" t="n"/>
      <c r="Y233" s="275" t="n"/>
      <c r="Z233" s="275" t="n"/>
      <c r="AA233" s="275" t="n"/>
      <c r="AB233" s="275" t="n"/>
      <c r="AC233" s="275" t="n"/>
      <c r="AD233" s="275" t="n"/>
      <c r="AE233" s="275" t="n"/>
      <c r="AF233" s="275" t="n"/>
      <c r="AG233" s="275" t="n"/>
      <c r="AH233" s="276" t="n"/>
      <c r="AI233" s="276" t="n"/>
      <c r="AJ233" s="170">
        <f>SUM(E233:AI233)</f>
        <v/>
      </c>
      <c r="AK233" s="170">
        <f>IF(AJ233,8.58,0)</f>
        <v/>
      </c>
    </row>
    <row r="234" ht="50" customHeight="1">
      <c r="A234" s="278" t="inlineStr">
        <is>
          <t xml:space="preserve"> - รับทราบการรับพัสดุครุภัณฑ์ทางการแพทย์/ครุภัณท์ประจำหอผู้ป่วย</t>
        </is>
      </c>
      <c r="B234" s="279" t="inlineStr">
        <is>
          <t>ครั้ง</t>
        </is>
      </c>
      <c r="C234" s="274" t="inlineStr">
        <is>
          <t>เหมา</t>
        </is>
      </c>
      <c r="D234" s="274" t="n">
        <v>1.43</v>
      </c>
      <c r="E234" s="169" t="n"/>
      <c r="F234" s="169" t="n"/>
      <c r="G234" s="169" t="n"/>
      <c r="H234" s="169" t="n"/>
      <c r="I234" s="169" t="n"/>
      <c r="J234" s="169" t="n"/>
      <c r="K234" s="169" t="n"/>
      <c r="L234" s="169" t="n"/>
      <c r="M234" s="169" t="n"/>
      <c r="N234" s="169" t="n"/>
      <c r="O234" s="169" t="n"/>
      <c r="P234" s="169" t="n"/>
      <c r="Q234" s="169" t="n"/>
      <c r="R234" s="169" t="n"/>
      <c r="S234" s="169" t="n"/>
      <c r="T234" s="169" t="n"/>
      <c r="U234" s="169" t="n"/>
      <c r="V234" s="169" t="n"/>
      <c r="W234" s="169" t="n"/>
      <c r="X234" s="169" t="n"/>
      <c r="Y234" s="169" t="n"/>
      <c r="Z234" s="169" t="n"/>
      <c r="AA234" s="169" t="n"/>
      <c r="AB234" s="169" t="n"/>
      <c r="AC234" s="169" t="n"/>
      <c r="AD234" s="169" t="n"/>
      <c r="AE234" s="169" t="n"/>
      <c r="AF234" s="169" t="n"/>
      <c r="AG234" s="169" t="n"/>
      <c r="AH234" s="169" t="n"/>
      <c r="AI234" s="169" t="n"/>
      <c r="AJ234" s="170">
        <f>SUM(E234:AI234)</f>
        <v/>
      </c>
      <c r="AK234" s="170">
        <f>AJ234*D234</f>
        <v/>
      </c>
    </row>
    <row r="235" ht="25" customHeight="1">
      <c r="A235" s="280" t="inlineStr">
        <is>
          <t xml:space="preserve"> - การลง Productivity / เวร</t>
        </is>
      </c>
      <c r="B235" s="275" t="inlineStr">
        <is>
          <t>เวร</t>
        </is>
      </c>
      <c r="C235" s="279" t="inlineStr">
        <is>
          <t>เหมา</t>
        </is>
      </c>
      <c r="D235" s="275" t="n">
        <v>1.43</v>
      </c>
      <c r="E235" s="275" t="n"/>
      <c r="F235" s="275" t="n"/>
      <c r="G235" s="275" t="n"/>
      <c r="H235" s="275" t="n"/>
      <c r="I235" s="275" t="n"/>
      <c r="J235" s="275" t="n"/>
      <c r="K235" s="275" t="n"/>
      <c r="L235" s="275" t="n"/>
      <c r="M235" s="275" t="n"/>
      <c r="N235" s="275" t="n"/>
      <c r="O235" s="275" t="n"/>
      <c r="P235" s="275" t="n"/>
      <c r="Q235" s="275" t="n"/>
      <c r="R235" s="275" t="n"/>
      <c r="S235" s="275" t="n"/>
      <c r="T235" s="275" t="n"/>
      <c r="U235" s="275" t="n"/>
      <c r="V235" s="275" t="n"/>
      <c r="W235" s="275" t="n"/>
      <c r="X235" s="275" t="n"/>
      <c r="Y235" s="275" t="n"/>
      <c r="Z235" s="275" t="n"/>
      <c r="AA235" s="275" t="n"/>
      <c r="AB235" s="275" t="n"/>
      <c r="AC235" s="275" t="n"/>
      <c r="AD235" s="275" t="n"/>
      <c r="AE235" s="275" t="n"/>
      <c r="AF235" s="275" t="n"/>
      <c r="AG235" s="275" t="n"/>
      <c r="AH235" s="275" t="n"/>
      <c r="AI235" s="275" t="n"/>
      <c r="AJ235" s="170">
        <f>SUM(E235:AI235)</f>
        <v/>
      </c>
      <c r="AK235" s="170">
        <f>AJ235*D235</f>
        <v/>
      </c>
    </row>
    <row r="236">
      <c r="A236" s="202" t="n"/>
      <c r="B236" s="651" t="n"/>
      <c r="C236" s="651" t="n"/>
      <c r="D236" s="651" t="n"/>
      <c r="E236" s="651" t="n"/>
      <c r="F236" s="651" t="n"/>
      <c r="G236" s="651" t="n"/>
      <c r="H236" s="651" t="n"/>
      <c r="I236" s="651" t="n"/>
      <c r="J236" s="651" t="n"/>
      <c r="K236" s="651" t="n"/>
      <c r="L236" s="651" t="n"/>
      <c r="M236" s="651" t="n"/>
      <c r="N236" s="651" t="n"/>
      <c r="O236" s="651" t="n"/>
      <c r="P236" s="651" t="n"/>
      <c r="Q236" s="651" t="n"/>
      <c r="R236" s="651" t="n"/>
      <c r="S236" s="651" t="n"/>
      <c r="T236" s="651" t="n"/>
      <c r="U236" s="651" t="n"/>
      <c r="V236" s="651" t="n"/>
      <c r="W236" s="651" t="n"/>
      <c r="X236" s="651" t="n"/>
      <c r="Y236" s="651" t="n"/>
      <c r="Z236" s="651" t="n"/>
      <c r="AA236" s="651" t="n"/>
      <c r="AB236" s="651" t="n"/>
      <c r="AC236" s="651" t="n"/>
      <c r="AD236" s="651" t="n"/>
      <c r="AE236" s="651" t="n"/>
      <c r="AF236" s="651" t="n"/>
      <c r="AG236" s="204" t="n"/>
      <c r="AH236" s="204" t="n"/>
      <c r="AI236" s="660" t="inlineStr">
        <is>
          <t>รวม</t>
        </is>
      </c>
      <c r="AJ236" s="768" t="n"/>
      <c r="AK236" s="624">
        <f>SUM(AK2:AK235)</f>
        <v/>
      </c>
    </row>
    <row r="237">
      <c r="A237" s="202" t="n"/>
      <c r="B237" s="651" t="n"/>
      <c r="C237" s="651" t="n"/>
      <c r="D237" s="651" t="n"/>
      <c r="E237" s="651" t="n"/>
      <c r="F237" s="651" t="n"/>
      <c r="G237" s="651" t="n"/>
      <c r="H237" s="651" t="n"/>
      <c r="I237" s="651" t="n"/>
      <c r="J237" s="651" t="n"/>
      <c r="K237" s="651" t="n"/>
      <c r="L237" s="651" t="n"/>
      <c r="M237" s="651" t="n"/>
      <c r="N237" s="651" t="n"/>
      <c r="O237" s="651" t="n"/>
      <c r="P237" s="651" t="n"/>
      <c r="Q237" s="651" t="n"/>
      <c r="R237" s="651" t="n"/>
      <c r="S237" s="651" t="n"/>
      <c r="T237" s="651" t="n"/>
      <c r="U237" s="651" t="n"/>
      <c r="V237" s="651" t="n"/>
      <c r="W237" s="651" t="n"/>
      <c r="X237" s="651" t="n"/>
      <c r="Y237" s="651" t="n"/>
      <c r="Z237" s="651" t="n"/>
      <c r="AA237" s="651" t="n"/>
      <c r="AB237" s="651" t="n"/>
      <c r="AC237" s="651" t="n"/>
      <c r="AD237" s="651" t="n"/>
      <c r="AE237" s="769" t="inlineStr">
        <is>
          <t>หักคะแนน</t>
        </is>
      </c>
      <c r="AJ237" s="770" t="n"/>
      <c r="AK237" s="206" t="n"/>
    </row>
    <row r="238">
      <c r="A238" s="202" t="n"/>
      <c r="B238" s="651" t="n"/>
      <c r="C238" s="651" t="n"/>
      <c r="D238" s="651" t="n"/>
      <c r="E238" s="651" t="n"/>
      <c r="F238" s="651" t="n"/>
      <c r="G238" s="651" t="n"/>
      <c r="H238" s="651" t="n"/>
      <c r="I238" s="651" t="n"/>
      <c r="J238" s="651" t="n"/>
      <c r="K238" s="651" t="n"/>
      <c r="L238" s="651" t="n"/>
      <c r="M238" s="651" t="n"/>
      <c r="N238" s="651" t="n"/>
      <c r="O238" s="651" t="n"/>
      <c r="P238" s="651" t="n"/>
      <c r="Q238" s="651" t="n"/>
      <c r="R238" s="651" t="n"/>
      <c r="S238" s="651" t="n"/>
      <c r="T238" s="651" t="n"/>
      <c r="U238" s="651" t="n"/>
      <c r="V238" s="651" t="n"/>
      <c r="W238" s="651" t="n"/>
      <c r="X238" s="651" t="n"/>
      <c r="Y238" s="651" t="n"/>
      <c r="Z238" s="651" t="n"/>
      <c r="AA238" s="651" t="n"/>
      <c r="AB238" s="651" t="n"/>
      <c r="AC238" s="651" t="n"/>
      <c r="AD238" s="651" t="n"/>
      <c r="AE238" s="651" t="n"/>
      <c r="AF238" s="771" t="inlineStr">
        <is>
          <t>คะแนนสุทธิ</t>
        </is>
      </c>
      <c r="AJ238" s="770" t="n"/>
      <c r="AK238" s="207">
        <f>AK236-AK237</f>
        <v/>
      </c>
    </row>
    <row r="239">
      <c r="A239" s="208" t="n"/>
      <c r="B239" s="651" t="n"/>
      <c r="C239" s="651" t="n"/>
      <c r="D239" s="651" t="n"/>
      <c r="E239" s="651" t="n"/>
      <c r="F239" s="651" t="n"/>
      <c r="G239" s="651" t="n"/>
      <c r="H239" s="651" t="n"/>
      <c r="I239" s="651" t="n"/>
      <c r="J239" s="651" t="n"/>
      <c r="K239" s="651" t="n"/>
      <c r="L239" s="651" t="n"/>
      <c r="M239" s="651" t="n"/>
      <c r="N239" s="651" t="n"/>
      <c r="O239" s="651" t="n"/>
      <c r="P239" s="651" t="n"/>
      <c r="Q239" s="651" t="n"/>
      <c r="R239" s="651" t="n"/>
      <c r="S239" s="651" t="n"/>
      <c r="T239" s="651" t="n"/>
      <c r="U239" s="651" t="n"/>
      <c r="V239" s="651" t="n"/>
      <c r="W239" s="651" t="n"/>
      <c r="X239" s="651" t="n"/>
      <c r="Y239" s="651" t="n"/>
      <c r="Z239" s="651" t="n"/>
      <c r="AA239" s="651" t="n"/>
      <c r="AB239" s="651" t="n"/>
      <c r="AC239" s="648" t="n"/>
      <c r="AD239" s="648" t="n"/>
      <c r="AE239" s="648" t="n"/>
      <c r="AF239" s="648" t="n"/>
      <c r="AG239" s="769" t="inlineStr">
        <is>
          <t>แต้มประกัน</t>
        </is>
      </c>
      <c r="AJ239" s="770" t="n"/>
      <c r="AK239" s="209" t="n">
        <v>1200</v>
      </c>
    </row>
    <row r="240">
      <c r="A240" s="649" t="n"/>
      <c r="J240" s="651" t="n"/>
      <c r="K240" s="651" t="n"/>
      <c r="W240" s="281" t="n"/>
      <c r="X240" s="281" t="n"/>
      <c r="Y240" s="281" t="n"/>
      <c r="Z240" s="282" t="n"/>
      <c r="AA240" s="282" t="n"/>
      <c r="AB240" s="651" t="n"/>
      <c r="AC240" s="769" t="inlineStr">
        <is>
          <t xml:space="preserve">  ส่วนต่างแต้ม</t>
        </is>
      </c>
      <c r="AJ240" s="770" t="n"/>
      <c r="AK240" s="625">
        <f>AK238-AK239</f>
        <v/>
      </c>
    </row>
    <row r="241">
      <c r="E241" s="68" t="n"/>
      <c r="F241" s="68" t="n"/>
      <c r="J241" s="68" t="n"/>
      <c r="L241" s="68" t="n"/>
      <c r="M241" s="68" t="n"/>
      <c r="Q241" s="68" t="n"/>
      <c r="R241" s="68" t="n"/>
      <c r="S241" s="68" t="n"/>
      <c r="T241" s="68" t="n"/>
      <c r="U241" s="68" t="n"/>
      <c r="Z241" s="68" t="n"/>
      <c r="AA241" s="68" t="n"/>
      <c r="AG241" s="68" t="n"/>
      <c r="AH241" s="68" t="n"/>
    </row>
    <row r="242">
      <c r="E242" s="68" t="n"/>
      <c r="F242" s="68" t="n"/>
      <c r="J242" s="68" t="n"/>
      <c r="L242" s="68" t="n"/>
      <c r="M242" s="68" t="n"/>
      <c r="Q242" s="68" t="n"/>
      <c r="R242" s="68" t="n"/>
      <c r="S242" s="68" t="n"/>
      <c r="T242" s="68" t="n"/>
      <c r="U242" s="68" t="n"/>
      <c r="Z242" s="68" t="n"/>
      <c r="AA242" s="68" t="n"/>
      <c r="AG242" s="68" t="n"/>
      <c r="AH242" s="68" t="n"/>
    </row>
    <row r="243">
      <c r="E243" s="68" t="n"/>
      <c r="F243" s="68" t="n"/>
      <c r="J243" s="68" t="n"/>
      <c r="L243" s="68" t="n"/>
      <c r="M243" s="68" t="n"/>
      <c r="Q243" s="68" t="n"/>
      <c r="R243" s="68" t="n"/>
      <c r="S243" s="68" t="n"/>
      <c r="T243" s="68" t="n"/>
      <c r="U243" s="68" t="n"/>
      <c r="Z243" s="68" t="n"/>
      <c r="AA243" s="68" t="n"/>
      <c r="AG243" s="68" t="n"/>
      <c r="AH243" s="68" t="n"/>
    </row>
    <row r="244">
      <c r="E244" s="68" t="n"/>
      <c r="F244" s="68" t="n"/>
      <c r="J244" s="68" t="n"/>
      <c r="L244" s="68" t="n"/>
      <c r="M244" s="68" t="n"/>
      <c r="Q244" s="68" t="n"/>
      <c r="R244" s="68" t="n"/>
      <c r="S244" s="68" t="n"/>
      <c r="T244" s="68" t="n"/>
      <c r="U244" s="68" t="n"/>
      <c r="Z244" s="68" t="n"/>
      <c r="AA244" s="68" t="n"/>
      <c r="AG244" s="68" t="n"/>
      <c r="AH244" s="68" t="n"/>
    </row>
    <row r="245">
      <c r="E245" s="68" t="n"/>
      <c r="F245" s="68" t="n"/>
      <c r="J245" s="68" t="n"/>
      <c r="L245" s="68" t="n"/>
      <c r="M245" s="68" t="n"/>
      <c r="Q245" s="68" t="n"/>
      <c r="R245" s="68" t="n"/>
      <c r="S245" s="68" t="n"/>
      <c r="T245" s="68" t="n"/>
      <c r="U245" s="68" t="n"/>
      <c r="Z245" s="68" t="n"/>
      <c r="AA245" s="68" t="n"/>
      <c r="AG245" s="68" t="n"/>
      <c r="AH245" s="68" t="n"/>
    </row>
    <row r="246">
      <c r="E246" s="68" t="n"/>
      <c r="F246" s="68" t="n"/>
      <c r="J246" s="68" t="n"/>
      <c r="L246" s="68" t="n"/>
      <c r="M246" s="68" t="n"/>
      <c r="Q246" s="68" t="n"/>
      <c r="R246" s="68" t="n"/>
      <c r="S246" s="68" t="n"/>
      <c r="T246" s="68" t="n"/>
      <c r="U246" s="68" t="n"/>
      <c r="Z246" s="68" t="n"/>
      <c r="AA246" s="68" t="n"/>
      <c r="AG246" s="68" t="n"/>
      <c r="AH246" s="68" t="n"/>
    </row>
    <row r="247">
      <c r="E247" s="68" t="n"/>
      <c r="F247" s="68" t="n"/>
      <c r="J247" s="68" t="n"/>
      <c r="L247" s="68" t="n"/>
      <c r="M247" s="68" t="n"/>
      <c r="Q247" s="68" t="n"/>
      <c r="R247" s="68" t="n"/>
      <c r="S247" s="68" t="n"/>
      <c r="T247" s="68" t="n"/>
      <c r="U247" s="68" t="n"/>
      <c r="Z247" s="68" t="n"/>
      <c r="AA247" s="68" t="n"/>
      <c r="AG247" s="68" t="n"/>
      <c r="AH247" s="68" t="n"/>
    </row>
    <row r="248">
      <c r="E248" s="68" t="n"/>
      <c r="F248" s="68" t="n"/>
      <c r="J248" s="68" t="n"/>
      <c r="L248" s="68" t="n"/>
      <c r="M248" s="68" t="n"/>
      <c r="Q248" s="68" t="n"/>
      <c r="R248" s="68" t="n"/>
      <c r="S248" s="68" t="n"/>
      <c r="T248" s="68" t="n"/>
      <c r="U248" s="68" t="n"/>
      <c r="Z248" s="68" t="n"/>
      <c r="AA248" s="68" t="n"/>
      <c r="AG248" s="68" t="n"/>
      <c r="AH248" s="68" t="n"/>
    </row>
    <row r="249">
      <c r="E249" s="68" t="n"/>
      <c r="F249" s="68" t="n"/>
      <c r="J249" s="68" t="n"/>
      <c r="L249" s="68" t="n"/>
      <c r="M249" s="68" t="n"/>
      <c r="Q249" s="68" t="n"/>
      <c r="R249" s="68" t="n"/>
      <c r="S249" s="68" t="n"/>
      <c r="T249" s="68" t="n"/>
      <c r="U249" s="68" t="n"/>
      <c r="Z249" s="68" t="n"/>
      <c r="AA249" s="68" t="n"/>
      <c r="AG249" s="68" t="n"/>
      <c r="AH249" s="68" t="n"/>
    </row>
    <row r="250">
      <c r="E250" s="68" t="n"/>
      <c r="F250" s="68" t="n"/>
      <c r="J250" s="68" t="n"/>
      <c r="L250" s="68" t="n"/>
      <c r="M250" s="68" t="n"/>
      <c r="Q250" s="68" t="n"/>
      <c r="R250" s="68" t="n"/>
      <c r="S250" s="68" t="n"/>
      <c r="T250" s="68" t="n"/>
      <c r="U250" s="68" t="n"/>
      <c r="Z250" s="68" t="n"/>
      <c r="AA250" s="68" t="n"/>
      <c r="AG250" s="68" t="n"/>
      <c r="AH250" s="68" t="n"/>
    </row>
    <row r="251">
      <c r="E251" s="68" t="n"/>
      <c r="F251" s="68" t="n"/>
      <c r="J251" s="68" t="n"/>
      <c r="L251" s="68" t="n"/>
      <c r="M251" s="68" t="n"/>
      <c r="Q251" s="68" t="n"/>
      <c r="R251" s="68" t="n"/>
      <c r="S251" s="68" t="n"/>
      <c r="T251" s="68" t="n"/>
      <c r="U251" s="68" t="n"/>
      <c r="Z251" s="68" t="n"/>
      <c r="AA251" s="68" t="n"/>
      <c r="AG251" s="68" t="n"/>
      <c r="AH251" s="68" t="n"/>
    </row>
    <row r="252">
      <c r="E252" s="68" t="n"/>
      <c r="F252" s="68" t="n"/>
      <c r="J252" s="68" t="n"/>
      <c r="L252" s="68" t="n"/>
      <c r="M252" s="68" t="n"/>
      <c r="Q252" s="68" t="n"/>
      <c r="R252" s="68" t="n"/>
      <c r="S252" s="68" t="n"/>
      <c r="T252" s="68" t="n"/>
      <c r="U252" s="68" t="n"/>
      <c r="Z252" s="68" t="n"/>
      <c r="AA252" s="68" t="n"/>
      <c r="AG252" s="68" t="n"/>
      <c r="AH252" s="68" t="n"/>
    </row>
    <row r="253">
      <c r="E253" s="68" t="n"/>
      <c r="F253" s="68" t="n"/>
      <c r="J253" s="68" t="n"/>
      <c r="L253" s="68" t="n"/>
      <c r="M253" s="68" t="n"/>
      <c r="Q253" s="68" t="n"/>
      <c r="R253" s="68" t="n"/>
      <c r="S253" s="68" t="n"/>
      <c r="T253" s="68" t="n"/>
      <c r="U253" s="68" t="n"/>
      <c r="Z253" s="68" t="n"/>
      <c r="AA253" s="68" t="n"/>
      <c r="AG253" s="68" t="n"/>
      <c r="AH253" s="68" t="n"/>
    </row>
    <row r="254">
      <c r="E254" s="68" t="n"/>
      <c r="F254" s="68" t="n"/>
      <c r="J254" s="68" t="n"/>
      <c r="L254" s="68" t="n"/>
      <c r="M254" s="68" t="n"/>
      <c r="Q254" s="68" t="n"/>
      <c r="R254" s="68" t="n"/>
      <c r="S254" s="68" t="n"/>
      <c r="T254" s="68" t="n"/>
      <c r="U254" s="68" t="n"/>
      <c r="Z254" s="68" t="n"/>
      <c r="AA254" s="68" t="n"/>
      <c r="AG254" s="68" t="n"/>
      <c r="AH254" s="68" t="n"/>
    </row>
    <row r="255">
      <c r="E255" s="68" t="n"/>
      <c r="F255" s="68" t="n"/>
      <c r="J255" s="68" t="n"/>
      <c r="L255" s="68" t="n"/>
      <c r="M255" s="68" t="n"/>
      <c r="Q255" s="68" t="n"/>
      <c r="R255" s="68" t="n"/>
      <c r="S255" s="68" t="n"/>
      <c r="T255" s="68" t="n"/>
      <c r="U255" s="68" t="n"/>
      <c r="Z255" s="68" t="n"/>
      <c r="AA255" s="68" t="n"/>
      <c r="AG255" s="68" t="n"/>
      <c r="AH255" s="68" t="n"/>
    </row>
    <row r="256">
      <c r="E256" s="68" t="n"/>
      <c r="F256" s="68" t="n"/>
      <c r="J256" s="68" t="n"/>
      <c r="L256" s="68" t="n"/>
      <c r="M256" s="68" t="n"/>
      <c r="Q256" s="68" t="n"/>
      <c r="R256" s="68" t="n"/>
      <c r="S256" s="68" t="n"/>
      <c r="T256" s="68" t="n"/>
      <c r="U256" s="68" t="n"/>
      <c r="Z256" s="68" t="n"/>
      <c r="AA256" s="68" t="n"/>
      <c r="AG256" s="68" t="n"/>
      <c r="AH256" s="68" t="n"/>
    </row>
    <row r="257">
      <c r="E257" s="68" t="n"/>
      <c r="F257" s="68" t="n"/>
      <c r="J257" s="68" t="n"/>
      <c r="L257" s="68" t="n"/>
      <c r="M257" s="68" t="n"/>
      <c r="Q257" s="68" t="n"/>
      <c r="R257" s="68" t="n"/>
      <c r="S257" s="68" t="n"/>
      <c r="T257" s="68" t="n"/>
      <c r="U257" s="68" t="n"/>
      <c r="Z257" s="68" t="n"/>
      <c r="AA257" s="68" t="n"/>
      <c r="AG257" s="68" t="n"/>
      <c r="AH257" s="68" t="n"/>
    </row>
    <row r="258">
      <c r="E258" s="68" t="n"/>
      <c r="F258" s="68" t="n"/>
      <c r="J258" s="68" t="n"/>
      <c r="L258" s="68" t="n"/>
      <c r="M258" s="68" t="n"/>
      <c r="Q258" s="68" t="n"/>
      <c r="R258" s="68" t="n"/>
      <c r="S258" s="68" t="n"/>
      <c r="T258" s="68" t="n"/>
      <c r="U258" s="68" t="n"/>
      <c r="Z258" s="68" t="n"/>
      <c r="AA258" s="68" t="n"/>
      <c r="AG258" s="68" t="n"/>
      <c r="AH258" s="68" t="n"/>
    </row>
    <row r="259">
      <c r="E259" s="68" t="n"/>
      <c r="F259" s="68" t="n"/>
      <c r="J259" s="68" t="n"/>
      <c r="L259" s="68" t="n"/>
      <c r="M259" s="68" t="n"/>
      <c r="Q259" s="68" t="n"/>
      <c r="R259" s="68" t="n"/>
      <c r="S259" s="68" t="n"/>
      <c r="T259" s="68" t="n"/>
      <c r="U259" s="68" t="n"/>
      <c r="Z259" s="68" t="n"/>
      <c r="AA259" s="68" t="n"/>
      <c r="AG259" s="68" t="n"/>
      <c r="AH259" s="68" t="n"/>
    </row>
    <row r="260">
      <c r="E260" s="68" t="n"/>
      <c r="F260" s="68" t="n"/>
      <c r="J260" s="68" t="n"/>
      <c r="L260" s="68" t="n"/>
      <c r="M260" s="68" t="n"/>
      <c r="Q260" s="68" t="n"/>
      <c r="R260" s="68" t="n"/>
      <c r="S260" s="68" t="n"/>
      <c r="T260" s="68" t="n"/>
      <c r="U260" s="68" t="n"/>
      <c r="Z260" s="68" t="n"/>
      <c r="AA260" s="68" t="n"/>
      <c r="AG260" s="68" t="n"/>
      <c r="AH260" s="68" t="n"/>
    </row>
    <row r="261">
      <c r="E261" s="68" t="n"/>
      <c r="F261" s="68" t="n"/>
      <c r="J261" s="68" t="n"/>
      <c r="L261" s="68" t="n"/>
      <c r="M261" s="68" t="n"/>
      <c r="Q261" s="68" t="n"/>
      <c r="R261" s="68" t="n"/>
      <c r="S261" s="68" t="n"/>
      <c r="T261" s="68" t="n"/>
      <c r="U261" s="68" t="n"/>
      <c r="Z261" s="68" t="n"/>
      <c r="AA261" s="68" t="n"/>
      <c r="AG261" s="68" t="n"/>
      <c r="AH261" s="68" t="n"/>
    </row>
    <row r="262">
      <c r="E262" s="68" t="n"/>
      <c r="F262" s="68" t="n"/>
      <c r="J262" s="68" t="n"/>
      <c r="L262" s="68" t="n"/>
      <c r="M262" s="68" t="n"/>
      <c r="Q262" s="68" t="n"/>
      <c r="R262" s="68" t="n"/>
      <c r="S262" s="68" t="n"/>
      <c r="T262" s="68" t="n"/>
      <c r="U262" s="68" t="n"/>
      <c r="Z262" s="68" t="n"/>
      <c r="AA262" s="68" t="n"/>
      <c r="AG262" s="68" t="n"/>
      <c r="AH262" s="68" t="n"/>
    </row>
    <row r="263">
      <c r="E263" s="68" t="n"/>
      <c r="F263" s="68" t="n"/>
      <c r="J263" s="68" t="n"/>
      <c r="L263" s="68" t="n"/>
      <c r="M263" s="68" t="n"/>
      <c r="Q263" s="68" t="n"/>
      <c r="R263" s="68" t="n"/>
      <c r="S263" s="68" t="n"/>
      <c r="T263" s="68" t="n"/>
      <c r="U263" s="68" t="n"/>
      <c r="Z263" s="68" t="n"/>
      <c r="AA263" s="68" t="n"/>
      <c r="AG263" s="68" t="n"/>
      <c r="AH263" s="68" t="n"/>
    </row>
    <row r="264">
      <c r="E264" s="68" t="n"/>
      <c r="F264" s="68" t="n"/>
      <c r="J264" s="68" t="n"/>
      <c r="L264" s="68" t="n"/>
      <c r="M264" s="68" t="n"/>
      <c r="Q264" s="68" t="n"/>
      <c r="R264" s="68" t="n"/>
      <c r="S264" s="68" t="n"/>
      <c r="T264" s="68" t="n"/>
      <c r="U264" s="68" t="n"/>
      <c r="Z264" s="68" t="n"/>
      <c r="AA264" s="68" t="n"/>
      <c r="AG264" s="68" t="n"/>
      <c r="AH264" s="68" t="n"/>
    </row>
    <row r="265">
      <c r="E265" s="68" t="n"/>
      <c r="F265" s="68" t="n"/>
      <c r="J265" s="68" t="n"/>
      <c r="L265" s="68" t="n"/>
      <c r="M265" s="68" t="n"/>
      <c r="Q265" s="68" t="n"/>
      <c r="R265" s="68" t="n"/>
      <c r="S265" s="68" t="n"/>
      <c r="T265" s="68" t="n"/>
      <c r="U265" s="68" t="n"/>
      <c r="Z265" s="68" t="n"/>
      <c r="AA265" s="68" t="n"/>
      <c r="AG265" s="68" t="n"/>
      <c r="AH265" s="68" t="n"/>
    </row>
    <row r="266">
      <c r="E266" s="68" t="n"/>
      <c r="F266" s="68" t="n"/>
      <c r="J266" s="68" t="n"/>
      <c r="L266" s="68" t="n"/>
      <c r="M266" s="68" t="n"/>
      <c r="Q266" s="68" t="n"/>
      <c r="R266" s="68" t="n"/>
      <c r="S266" s="68" t="n"/>
      <c r="T266" s="68" t="n"/>
      <c r="U266" s="68" t="n"/>
      <c r="Z266" s="68" t="n"/>
      <c r="AA266" s="68" t="n"/>
      <c r="AG266" s="68" t="n"/>
      <c r="AH266" s="68" t="n"/>
    </row>
    <row r="267">
      <c r="E267" s="68" t="n"/>
      <c r="F267" s="68" t="n"/>
      <c r="J267" s="68" t="n"/>
      <c r="L267" s="68" t="n"/>
      <c r="M267" s="68" t="n"/>
      <c r="Q267" s="68" t="n"/>
      <c r="R267" s="68" t="n"/>
      <c r="S267" s="68" t="n"/>
      <c r="T267" s="68" t="n"/>
      <c r="U267" s="68" t="n"/>
      <c r="Z267" s="68" t="n"/>
      <c r="AA267" s="68" t="n"/>
      <c r="AG267" s="68" t="n"/>
      <c r="AH267" s="68" t="n"/>
    </row>
    <row r="268">
      <c r="E268" s="68" t="n"/>
      <c r="F268" s="68" t="n"/>
      <c r="J268" s="68" t="n"/>
      <c r="L268" s="68" t="n"/>
      <c r="M268" s="68" t="n"/>
      <c r="Q268" s="68" t="n"/>
      <c r="R268" s="68" t="n"/>
      <c r="S268" s="68" t="n"/>
      <c r="T268" s="68" t="n"/>
      <c r="U268" s="68" t="n"/>
      <c r="Z268" s="68" t="n"/>
      <c r="AA268" s="68" t="n"/>
      <c r="AG268" s="68" t="n"/>
      <c r="AH268" s="68" t="n"/>
    </row>
    <row r="269">
      <c r="E269" s="68" t="n"/>
      <c r="F269" s="68" t="n"/>
      <c r="J269" s="68" t="n"/>
      <c r="L269" s="68" t="n"/>
      <c r="M269" s="68" t="n"/>
      <c r="Q269" s="68" t="n"/>
      <c r="R269" s="68" t="n"/>
      <c r="S269" s="68" t="n"/>
      <c r="T269" s="68" t="n"/>
      <c r="U269" s="68" t="n"/>
      <c r="Z269" s="68" t="n"/>
      <c r="AA269" s="68" t="n"/>
      <c r="AG269" s="68" t="n"/>
      <c r="AH269" s="68" t="n"/>
    </row>
    <row r="270">
      <c r="E270" s="68" t="n"/>
      <c r="F270" s="68" t="n"/>
      <c r="J270" s="68" t="n"/>
      <c r="L270" s="68" t="n"/>
      <c r="M270" s="68" t="n"/>
      <c r="Q270" s="68" t="n"/>
      <c r="R270" s="68" t="n"/>
      <c r="S270" s="68" t="n"/>
      <c r="T270" s="68" t="n"/>
      <c r="U270" s="68" t="n"/>
      <c r="Z270" s="68" t="n"/>
      <c r="AA270" s="68" t="n"/>
      <c r="AG270" s="68" t="n"/>
      <c r="AH270" s="68" t="n"/>
    </row>
    <row r="271">
      <c r="E271" s="68" t="n"/>
      <c r="F271" s="68" t="n"/>
      <c r="J271" s="68" t="n"/>
      <c r="L271" s="68" t="n"/>
      <c r="M271" s="68" t="n"/>
      <c r="Q271" s="68" t="n"/>
      <c r="R271" s="68" t="n"/>
      <c r="S271" s="68" t="n"/>
      <c r="T271" s="68" t="n"/>
      <c r="U271" s="68" t="n"/>
      <c r="Z271" s="68" t="n"/>
      <c r="AA271" s="68" t="n"/>
      <c r="AG271" s="68" t="n"/>
      <c r="AH271" s="68" t="n"/>
    </row>
    <row r="272">
      <c r="E272" s="68" t="n"/>
      <c r="F272" s="68" t="n"/>
      <c r="J272" s="68" t="n"/>
      <c r="L272" s="68" t="n"/>
      <c r="M272" s="68" t="n"/>
      <c r="Q272" s="68" t="n"/>
      <c r="R272" s="68" t="n"/>
      <c r="S272" s="68" t="n"/>
      <c r="T272" s="68" t="n"/>
      <c r="U272" s="68" t="n"/>
      <c r="Z272" s="68" t="n"/>
      <c r="AA272" s="68" t="n"/>
      <c r="AG272" s="68" t="n"/>
      <c r="AH272" s="68" t="n"/>
    </row>
    <row r="273">
      <c r="E273" s="68" t="n"/>
      <c r="F273" s="68" t="n"/>
      <c r="J273" s="68" t="n"/>
      <c r="L273" s="68" t="n"/>
      <c r="M273" s="68" t="n"/>
      <c r="Q273" s="68" t="n"/>
      <c r="R273" s="68" t="n"/>
      <c r="S273" s="68" t="n"/>
      <c r="T273" s="68" t="n"/>
      <c r="U273" s="68" t="n"/>
      <c r="Z273" s="68" t="n"/>
      <c r="AA273" s="68" t="n"/>
      <c r="AG273" s="68" t="n"/>
      <c r="AH273" s="68" t="n"/>
    </row>
    <row r="274">
      <c r="E274" s="68" t="n"/>
      <c r="F274" s="68" t="n"/>
      <c r="J274" s="68" t="n"/>
      <c r="L274" s="68" t="n"/>
      <c r="M274" s="68" t="n"/>
      <c r="Q274" s="68" t="n"/>
      <c r="R274" s="68" t="n"/>
      <c r="S274" s="68" t="n"/>
      <c r="T274" s="68" t="n"/>
      <c r="U274" s="68" t="n"/>
      <c r="Z274" s="68" t="n"/>
      <c r="AA274" s="68" t="n"/>
      <c r="AG274" s="68" t="n"/>
      <c r="AH274" s="68" t="n"/>
    </row>
    <row r="275">
      <c r="E275" s="68" t="n"/>
      <c r="F275" s="68" t="n"/>
      <c r="J275" s="68" t="n"/>
      <c r="L275" s="68" t="n"/>
      <c r="M275" s="68" t="n"/>
      <c r="Q275" s="68" t="n"/>
      <c r="R275" s="68" t="n"/>
      <c r="S275" s="68" t="n"/>
      <c r="T275" s="68" t="n"/>
      <c r="U275" s="68" t="n"/>
      <c r="Z275" s="68" t="n"/>
      <c r="AA275" s="68" t="n"/>
      <c r="AG275" s="68" t="n"/>
      <c r="AH275" s="68" t="n"/>
    </row>
    <row r="276">
      <c r="E276" s="68" t="n"/>
      <c r="F276" s="68" t="n"/>
      <c r="J276" s="68" t="n"/>
      <c r="L276" s="68" t="n"/>
      <c r="M276" s="68" t="n"/>
      <c r="Q276" s="68" t="n"/>
      <c r="R276" s="68" t="n"/>
      <c r="S276" s="68" t="n"/>
      <c r="T276" s="68" t="n"/>
      <c r="U276" s="68" t="n"/>
      <c r="Z276" s="68" t="n"/>
      <c r="AA276" s="68" t="n"/>
      <c r="AG276" s="68" t="n"/>
      <c r="AH276" s="68" t="n"/>
    </row>
    <row r="277">
      <c r="E277" s="68" t="n"/>
      <c r="F277" s="68" t="n"/>
      <c r="J277" s="68" t="n"/>
      <c r="L277" s="68" t="n"/>
      <c r="M277" s="68" t="n"/>
      <c r="Q277" s="68" t="n"/>
      <c r="R277" s="68" t="n"/>
      <c r="S277" s="68" t="n"/>
      <c r="T277" s="68" t="n"/>
      <c r="U277" s="68" t="n"/>
      <c r="Z277" s="68" t="n"/>
      <c r="AA277" s="68" t="n"/>
      <c r="AG277" s="68" t="n"/>
      <c r="AH277" s="68" t="n"/>
    </row>
    <row r="278">
      <c r="E278" s="68" t="n"/>
      <c r="F278" s="68" t="n"/>
      <c r="J278" s="68" t="n"/>
      <c r="L278" s="68" t="n"/>
      <c r="M278" s="68" t="n"/>
      <c r="Q278" s="68" t="n"/>
      <c r="R278" s="68" t="n"/>
      <c r="S278" s="68" t="n"/>
      <c r="T278" s="68" t="n"/>
      <c r="U278" s="68" t="n"/>
      <c r="Z278" s="68" t="n"/>
      <c r="AA278" s="68" t="n"/>
      <c r="AG278" s="68" t="n"/>
      <c r="AH278" s="68" t="n"/>
    </row>
    <row r="279">
      <c r="E279" s="68" t="n"/>
      <c r="F279" s="68" t="n"/>
      <c r="J279" s="68" t="n"/>
      <c r="L279" s="68" t="n"/>
      <c r="M279" s="68" t="n"/>
      <c r="Q279" s="68" t="n"/>
      <c r="R279" s="68" t="n"/>
      <c r="S279" s="68" t="n"/>
      <c r="T279" s="68" t="n"/>
      <c r="U279" s="68" t="n"/>
      <c r="Z279" s="68" t="n"/>
      <c r="AA279" s="68" t="n"/>
      <c r="AG279" s="68" t="n"/>
      <c r="AH279" s="68" t="n"/>
    </row>
    <row r="280">
      <c r="E280" s="68" t="n"/>
      <c r="F280" s="68" t="n"/>
      <c r="J280" s="68" t="n"/>
      <c r="L280" s="68" t="n"/>
      <c r="M280" s="68" t="n"/>
      <c r="Q280" s="68" t="n"/>
      <c r="R280" s="68" t="n"/>
      <c r="S280" s="68" t="n"/>
      <c r="T280" s="68" t="n"/>
      <c r="U280" s="68" t="n"/>
      <c r="Z280" s="68" t="n"/>
      <c r="AA280" s="68" t="n"/>
      <c r="AG280" s="68" t="n"/>
      <c r="AH280" s="68" t="n"/>
    </row>
    <row r="281">
      <c r="E281" s="68" t="n"/>
      <c r="F281" s="68" t="n"/>
      <c r="J281" s="68" t="n"/>
      <c r="L281" s="68" t="n"/>
      <c r="M281" s="68" t="n"/>
      <c r="Q281" s="68" t="n"/>
      <c r="R281" s="68" t="n"/>
      <c r="S281" s="68" t="n"/>
      <c r="T281" s="68" t="n"/>
      <c r="U281" s="68" t="n"/>
      <c r="Z281" s="68" t="n"/>
      <c r="AA281" s="68" t="n"/>
      <c r="AG281" s="68" t="n"/>
      <c r="AH281" s="68" t="n"/>
    </row>
    <row r="282">
      <c r="E282" s="68" t="n"/>
      <c r="F282" s="68" t="n"/>
      <c r="J282" s="68" t="n"/>
      <c r="L282" s="68" t="n"/>
      <c r="M282" s="68" t="n"/>
      <c r="Q282" s="68" t="n"/>
      <c r="R282" s="68" t="n"/>
      <c r="S282" s="68" t="n"/>
      <c r="T282" s="68" t="n"/>
      <c r="U282" s="68" t="n"/>
      <c r="Z282" s="68" t="n"/>
      <c r="AA282" s="68" t="n"/>
      <c r="AG282" s="68" t="n"/>
      <c r="AH282" s="68" t="n"/>
    </row>
    <row r="283">
      <c r="E283" s="68" t="n"/>
      <c r="F283" s="68" t="n"/>
      <c r="J283" s="68" t="n"/>
      <c r="L283" s="68" t="n"/>
      <c r="M283" s="68" t="n"/>
      <c r="Q283" s="68" t="n"/>
      <c r="R283" s="68" t="n"/>
      <c r="S283" s="68" t="n"/>
      <c r="T283" s="68" t="n"/>
      <c r="U283" s="68" t="n"/>
      <c r="Z283" s="68" t="n"/>
      <c r="AA283" s="68" t="n"/>
      <c r="AG283" s="68" t="n"/>
      <c r="AH283" s="68" t="n"/>
    </row>
    <row r="284">
      <c r="E284" s="68" t="n"/>
      <c r="F284" s="68" t="n"/>
      <c r="J284" s="68" t="n"/>
      <c r="L284" s="68" t="n"/>
      <c r="M284" s="68" t="n"/>
      <c r="Q284" s="68" t="n"/>
      <c r="R284" s="68" t="n"/>
      <c r="S284" s="68" t="n"/>
      <c r="T284" s="68" t="n"/>
      <c r="U284" s="68" t="n"/>
      <c r="Z284" s="68" t="n"/>
      <c r="AA284" s="68" t="n"/>
      <c r="AG284" s="68" t="n"/>
      <c r="AH284" s="68" t="n"/>
    </row>
    <row r="285">
      <c r="E285" s="68" t="n"/>
      <c r="F285" s="68" t="n"/>
      <c r="J285" s="68" t="n"/>
      <c r="L285" s="68" t="n"/>
      <c r="M285" s="68" t="n"/>
      <c r="Q285" s="68" t="n"/>
      <c r="R285" s="68" t="n"/>
      <c r="S285" s="68" t="n"/>
      <c r="T285" s="68" t="n"/>
      <c r="U285" s="68" t="n"/>
      <c r="Z285" s="68" t="n"/>
      <c r="AA285" s="68" t="n"/>
      <c r="AG285" s="68" t="n"/>
      <c r="AH285" s="68" t="n"/>
    </row>
    <row r="286">
      <c r="E286" s="68" t="n"/>
      <c r="F286" s="68" t="n"/>
      <c r="J286" s="68" t="n"/>
      <c r="L286" s="68" t="n"/>
      <c r="M286" s="68" t="n"/>
      <c r="Q286" s="68" t="n"/>
      <c r="R286" s="68" t="n"/>
      <c r="S286" s="68" t="n"/>
      <c r="T286" s="68" t="n"/>
      <c r="U286" s="68" t="n"/>
      <c r="Z286" s="68" t="n"/>
      <c r="AA286" s="68" t="n"/>
      <c r="AG286" s="68" t="n"/>
      <c r="AH286" s="68" t="n"/>
    </row>
    <row r="287">
      <c r="E287" s="68" t="n"/>
      <c r="F287" s="68" t="n"/>
      <c r="J287" s="68" t="n"/>
      <c r="L287" s="68" t="n"/>
      <c r="M287" s="68" t="n"/>
      <c r="Q287" s="68" t="n"/>
      <c r="R287" s="68" t="n"/>
      <c r="S287" s="68" t="n"/>
      <c r="T287" s="68" t="n"/>
      <c r="U287" s="68" t="n"/>
      <c r="Z287" s="68" t="n"/>
      <c r="AA287" s="68" t="n"/>
      <c r="AG287" s="68" t="n"/>
      <c r="AH287" s="68" t="n"/>
    </row>
    <row r="288">
      <c r="E288" s="68" t="n"/>
      <c r="F288" s="68" t="n"/>
      <c r="J288" s="68" t="n"/>
      <c r="L288" s="68" t="n"/>
      <c r="M288" s="68" t="n"/>
      <c r="Q288" s="68" t="n"/>
      <c r="R288" s="68" t="n"/>
      <c r="S288" s="68" t="n"/>
      <c r="T288" s="68" t="n"/>
      <c r="U288" s="68" t="n"/>
      <c r="Z288" s="68" t="n"/>
      <c r="AA288" s="68" t="n"/>
      <c r="AG288" s="68" t="n"/>
      <c r="AH288" s="68" t="n"/>
    </row>
    <row r="289">
      <c r="E289" s="68" t="n"/>
      <c r="F289" s="68" t="n"/>
      <c r="J289" s="68" t="n"/>
      <c r="L289" s="68" t="n"/>
      <c r="M289" s="68" t="n"/>
      <c r="Q289" s="68" t="n"/>
      <c r="R289" s="68" t="n"/>
      <c r="S289" s="68" t="n"/>
      <c r="T289" s="68" t="n"/>
      <c r="U289" s="68" t="n"/>
      <c r="Z289" s="68" t="n"/>
      <c r="AA289" s="68" t="n"/>
      <c r="AG289" s="68" t="n"/>
      <c r="AH289" s="68" t="n"/>
    </row>
    <row r="290">
      <c r="E290" s="68" t="n"/>
      <c r="F290" s="68" t="n"/>
      <c r="J290" s="68" t="n"/>
      <c r="L290" s="68" t="n"/>
      <c r="M290" s="68" t="n"/>
      <c r="Q290" s="68" t="n"/>
      <c r="R290" s="68" t="n"/>
      <c r="S290" s="68" t="n"/>
      <c r="T290" s="68" t="n"/>
      <c r="U290" s="68" t="n"/>
      <c r="Z290" s="68" t="n"/>
      <c r="AA290" s="68" t="n"/>
      <c r="AG290" s="68" t="n"/>
      <c r="AH290" s="68" t="n"/>
    </row>
    <row r="291">
      <c r="E291" s="68" t="n"/>
      <c r="F291" s="68" t="n"/>
      <c r="J291" s="68" t="n"/>
      <c r="L291" s="68" t="n"/>
      <c r="M291" s="68" t="n"/>
      <c r="Q291" s="68" t="n"/>
      <c r="R291" s="68" t="n"/>
      <c r="S291" s="68" t="n"/>
      <c r="T291" s="68" t="n"/>
      <c r="U291" s="68" t="n"/>
      <c r="Z291" s="68" t="n"/>
      <c r="AA291" s="68" t="n"/>
      <c r="AG291" s="68" t="n"/>
      <c r="AH291" s="68" t="n"/>
    </row>
    <row r="292">
      <c r="E292" s="68" t="n"/>
      <c r="F292" s="68" t="n"/>
      <c r="J292" s="68" t="n"/>
      <c r="L292" s="68" t="n"/>
      <c r="M292" s="68" t="n"/>
      <c r="Q292" s="68" t="n"/>
      <c r="R292" s="68" t="n"/>
      <c r="S292" s="68" t="n"/>
      <c r="T292" s="68" t="n"/>
      <c r="U292" s="68" t="n"/>
      <c r="Z292" s="68" t="n"/>
      <c r="AA292" s="68" t="n"/>
      <c r="AG292" s="68" t="n"/>
      <c r="AH292" s="68" t="n"/>
    </row>
    <row r="293">
      <c r="E293" s="68" t="n"/>
      <c r="F293" s="68" t="n"/>
      <c r="J293" s="68" t="n"/>
      <c r="L293" s="68" t="n"/>
      <c r="M293" s="68" t="n"/>
      <c r="Q293" s="68" t="n"/>
      <c r="R293" s="68" t="n"/>
      <c r="S293" s="68" t="n"/>
      <c r="T293" s="68" t="n"/>
      <c r="U293" s="68" t="n"/>
      <c r="Z293" s="68" t="n"/>
      <c r="AA293" s="68" t="n"/>
      <c r="AG293" s="68" t="n"/>
      <c r="AH293" s="68" t="n"/>
    </row>
    <row r="294">
      <c r="E294" s="68" t="n"/>
      <c r="F294" s="68" t="n"/>
      <c r="J294" s="68" t="n"/>
      <c r="L294" s="68" t="n"/>
      <c r="M294" s="68" t="n"/>
      <c r="Q294" s="68" t="n"/>
      <c r="R294" s="68" t="n"/>
      <c r="S294" s="68" t="n"/>
      <c r="T294" s="68" t="n"/>
      <c r="U294" s="68" t="n"/>
      <c r="Z294" s="68" t="n"/>
      <c r="AA294" s="68" t="n"/>
      <c r="AG294" s="68" t="n"/>
      <c r="AH294" s="68" t="n"/>
    </row>
    <row r="295">
      <c r="E295" s="68" t="n"/>
      <c r="F295" s="68" t="n"/>
      <c r="J295" s="68" t="n"/>
      <c r="L295" s="68" t="n"/>
      <c r="M295" s="68" t="n"/>
      <c r="Q295" s="68" t="n"/>
      <c r="R295" s="68" t="n"/>
      <c r="S295" s="68" t="n"/>
      <c r="T295" s="68" t="n"/>
      <c r="U295" s="68" t="n"/>
      <c r="Z295" s="68" t="n"/>
      <c r="AA295" s="68" t="n"/>
      <c r="AG295" s="68" t="n"/>
      <c r="AH295" s="68" t="n"/>
    </row>
    <row r="296">
      <c r="E296" s="68" t="n"/>
      <c r="F296" s="68" t="n"/>
      <c r="J296" s="68" t="n"/>
      <c r="L296" s="68" t="n"/>
      <c r="M296" s="68" t="n"/>
      <c r="Q296" s="68" t="n"/>
      <c r="R296" s="68" t="n"/>
      <c r="S296" s="68" t="n"/>
      <c r="T296" s="68" t="n"/>
      <c r="U296" s="68" t="n"/>
      <c r="Z296" s="68" t="n"/>
      <c r="AA296" s="68" t="n"/>
      <c r="AG296" s="68" t="n"/>
      <c r="AH296" s="68" t="n"/>
    </row>
    <row r="297">
      <c r="E297" s="68" t="n"/>
      <c r="F297" s="68" t="n"/>
      <c r="J297" s="68" t="n"/>
      <c r="L297" s="68" t="n"/>
      <c r="M297" s="68" t="n"/>
      <c r="Q297" s="68" t="n"/>
      <c r="R297" s="68" t="n"/>
      <c r="S297" s="68" t="n"/>
      <c r="T297" s="68" t="n"/>
      <c r="U297" s="68" t="n"/>
      <c r="Z297" s="68" t="n"/>
      <c r="AA297" s="68" t="n"/>
      <c r="AG297" s="68" t="n"/>
      <c r="AH297" s="68" t="n"/>
    </row>
    <row r="298">
      <c r="E298" s="68" t="n"/>
      <c r="F298" s="68" t="n"/>
      <c r="J298" s="68" t="n"/>
      <c r="L298" s="68" t="n"/>
      <c r="M298" s="68" t="n"/>
      <c r="Q298" s="68" t="n"/>
      <c r="R298" s="68" t="n"/>
      <c r="S298" s="68" t="n"/>
      <c r="T298" s="68" t="n"/>
      <c r="U298" s="68" t="n"/>
      <c r="Z298" s="68" t="n"/>
      <c r="AA298" s="68" t="n"/>
      <c r="AG298" s="68" t="n"/>
      <c r="AH298" s="68" t="n"/>
    </row>
    <row r="299">
      <c r="E299" s="68" t="n"/>
      <c r="F299" s="68" t="n"/>
      <c r="J299" s="68" t="n"/>
      <c r="L299" s="68" t="n"/>
      <c r="M299" s="68" t="n"/>
      <c r="Q299" s="68" t="n"/>
      <c r="R299" s="68" t="n"/>
      <c r="S299" s="68" t="n"/>
      <c r="T299" s="68" t="n"/>
      <c r="U299" s="68" t="n"/>
      <c r="Z299" s="68" t="n"/>
      <c r="AA299" s="68" t="n"/>
      <c r="AG299" s="68" t="n"/>
      <c r="AH299" s="68" t="n"/>
    </row>
    <row r="300">
      <c r="E300" s="68" t="n"/>
      <c r="F300" s="68" t="n"/>
      <c r="J300" s="68" t="n"/>
      <c r="L300" s="68" t="n"/>
      <c r="M300" s="68" t="n"/>
      <c r="Q300" s="68" t="n"/>
      <c r="R300" s="68" t="n"/>
      <c r="S300" s="68" t="n"/>
      <c r="T300" s="68" t="n"/>
      <c r="U300" s="68" t="n"/>
      <c r="Z300" s="68" t="n"/>
      <c r="AA300" s="68" t="n"/>
      <c r="AG300" s="68" t="n"/>
      <c r="AH300" s="68" t="n"/>
    </row>
    <row r="301">
      <c r="E301" s="68" t="n"/>
      <c r="F301" s="68" t="n"/>
      <c r="J301" s="68" t="n"/>
      <c r="L301" s="68" t="n"/>
      <c r="M301" s="68" t="n"/>
      <c r="Q301" s="68" t="n"/>
      <c r="R301" s="68" t="n"/>
      <c r="S301" s="68" t="n"/>
      <c r="T301" s="68" t="n"/>
      <c r="U301" s="68" t="n"/>
      <c r="Z301" s="68" t="n"/>
      <c r="AA301" s="68" t="n"/>
      <c r="AG301" s="68" t="n"/>
      <c r="AH301" s="68" t="n"/>
    </row>
    <row r="302">
      <c r="E302" s="68" t="n"/>
      <c r="F302" s="68" t="n"/>
      <c r="J302" s="68" t="n"/>
      <c r="L302" s="68" t="n"/>
      <c r="M302" s="68" t="n"/>
      <c r="Q302" s="68" t="n"/>
      <c r="R302" s="68" t="n"/>
      <c r="S302" s="68" t="n"/>
      <c r="T302" s="68" t="n"/>
      <c r="U302" s="68" t="n"/>
      <c r="Z302" s="68" t="n"/>
      <c r="AA302" s="68" t="n"/>
      <c r="AG302" s="68" t="n"/>
      <c r="AH302" s="68" t="n"/>
    </row>
    <row r="303">
      <c r="E303" s="68" t="n"/>
      <c r="F303" s="68" t="n"/>
      <c r="J303" s="68" t="n"/>
      <c r="L303" s="68" t="n"/>
      <c r="M303" s="68" t="n"/>
      <c r="Q303" s="68" t="n"/>
      <c r="R303" s="68" t="n"/>
      <c r="S303" s="68" t="n"/>
      <c r="T303" s="68" t="n"/>
      <c r="U303" s="68" t="n"/>
      <c r="Z303" s="68" t="n"/>
      <c r="AA303" s="68" t="n"/>
      <c r="AG303" s="68" t="n"/>
      <c r="AH303" s="68" t="n"/>
    </row>
    <row r="304">
      <c r="E304" s="68" t="n"/>
      <c r="F304" s="68" t="n"/>
      <c r="J304" s="68" t="n"/>
      <c r="L304" s="68" t="n"/>
      <c r="M304" s="68" t="n"/>
      <c r="Q304" s="68" t="n"/>
      <c r="R304" s="68" t="n"/>
      <c r="S304" s="68" t="n"/>
      <c r="T304" s="68" t="n"/>
      <c r="U304" s="68" t="n"/>
      <c r="Z304" s="68" t="n"/>
      <c r="AA304" s="68" t="n"/>
      <c r="AG304" s="68" t="n"/>
      <c r="AH304" s="68" t="n"/>
    </row>
    <row r="305">
      <c r="E305" s="68" t="n"/>
      <c r="F305" s="68" t="n"/>
      <c r="J305" s="68" t="n"/>
      <c r="L305" s="68" t="n"/>
      <c r="M305" s="68" t="n"/>
      <c r="Q305" s="68" t="n"/>
      <c r="R305" s="68" t="n"/>
      <c r="S305" s="68" t="n"/>
      <c r="T305" s="68" t="n"/>
      <c r="U305" s="68" t="n"/>
      <c r="Z305" s="68" t="n"/>
      <c r="AA305" s="68" t="n"/>
      <c r="AG305" s="68" t="n"/>
      <c r="AH305" s="68" t="n"/>
    </row>
    <row r="306">
      <c r="E306" s="68" t="n"/>
      <c r="F306" s="68" t="n"/>
      <c r="J306" s="68" t="n"/>
      <c r="L306" s="68" t="n"/>
      <c r="M306" s="68" t="n"/>
      <c r="Q306" s="68" t="n"/>
      <c r="R306" s="68" t="n"/>
      <c r="S306" s="68" t="n"/>
      <c r="T306" s="68" t="n"/>
      <c r="U306" s="68" t="n"/>
      <c r="Z306" s="68" t="n"/>
      <c r="AA306" s="68" t="n"/>
      <c r="AG306" s="68" t="n"/>
      <c r="AH306" s="68" t="n"/>
    </row>
    <row r="307">
      <c r="E307" s="68" t="n"/>
      <c r="F307" s="68" t="n"/>
      <c r="J307" s="68" t="n"/>
      <c r="L307" s="68" t="n"/>
      <c r="M307" s="68" t="n"/>
      <c r="Q307" s="68" t="n"/>
      <c r="R307" s="68" t="n"/>
      <c r="S307" s="68" t="n"/>
      <c r="T307" s="68" t="n"/>
      <c r="U307" s="68" t="n"/>
      <c r="Z307" s="68" t="n"/>
      <c r="AA307" s="68" t="n"/>
      <c r="AG307" s="68" t="n"/>
      <c r="AH307" s="68" t="n"/>
    </row>
    <row r="308">
      <c r="E308" s="68" t="n"/>
      <c r="F308" s="68" t="n"/>
      <c r="J308" s="68" t="n"/>
      <c r="L308" s="68" t="n"/>
      <c r="M308" s="68" t="n"/>
      <c r="Q308" s="68" t="n"/>
      <c r="R308" s="68" t="n"/>
      <c r="S308" s="68" t="n"/>
      <c r="T308" s="68" t="n"/>
      <c r="U308" s="68" t="n"/>
      <c r="Z308" s="68" t="n"/>
      <c r="AA308" s="68" t="n"/>
      <c r="AG308" s="68" t="n"/>
      <c r="AH308" s="68" t="n"/>
    </row>
    <row r="309">
      <c r="E309" s="68" t="n"/>
      <c r="F309" s="68" t="n"/>
      <c r="J309" s="68" t="n"/>
      <c r="L309" s="68" t="n"/>
      <c r="M309" s="68" t="n"/>
      <c r="Q309" s="68" t="n"/>
      <c r="R309" s="68" t="n"/>
      <c r="S309" s="68" t="n"/>
      <c r="T309" s="68" t="n"/>
      <c r="U309" s="68" t="n"/>
      <c r="Z309" s="68" t="n"/>
      <c r="AA309" s="68" t="n"/>
      <c r="AG309" s="68" t="n"/>
      <c r="AH309" s="68" t="n"/>
    </row>
    <row r="310">
      <c r="E310" s="68" t="n"/>
      <c r="F310" s="68" t="n"/>
      <c r="J310" s="68" t="n"/>
      <c r="L310" s="68" t="n"/>
      <c r="M310" s="68" t="n"/>
      <c r="Q310" s="68" t="n"/>
      <c r="R310" s="68" t="n"/>
      <c r="S310" s="68" t="n"/>
      <c r="T310" s="68" t="n"/>
      <c r="U310" s="68" t="n"/>
      <c r="Z310" s="68" t="n"/>
      <c r="AA310" s="68" t="n"/>
      <c r="AG310" s="68" t="n"/>
      <c r="AH310" s="68" t="n"/>
    </row>
    <row r="311">
      <c r="E311" s="68" t="n"/>
      <c r="F311" s="68" t="n"/>
      <c r="J311" s="68" t="n"/>
      <c r="L311" s="68" t="n"/>
      <c r="M311" s="68" t="n"/>
      <c r="Q311" s="68" t="n"/>
      <c r="R311" s="68" t="n"/>
      <c r="S311" s="68" t="n"/>
      <c r="T311" s="68" t="n"/>
      <c r="U311" s="68" t="n"/>
      <c r="Z311" s="68" t="n"/>
      <c r="AA311" s="68" t="n"/>
      <c r="AG311" s="68" t="n"/>
      <c r="AH311" s="68" t="n"/>
    </row>
    <row r="312">
      <c r="E312" s="68" t="n"/>
      <c r="F312" s="68" t="n"/>
      <c r="J312" s="68" t="n"/>
      <c r="L312" s="68" t="n"/>
      <c r="M312" s="68" t="n"/>
      <c r="Q312" s="68" t="n"/>
      <c r="R312" s="68" t="n"/>
      <c r="S312" s="68" t="n"/>
      <c r="T312" s="68" t="n"/>
      <c r="U312" s="68" t="n"/>
      <c r="Z312" s="68" t="n"/>
      <c r="AA312" s="68" t="n"/>
      <c r="AG312" s="68" t="n"/>
      <c r="AH312" s="68" t="n"/>
    </row>
    <row r="313">
      <c r="E313" s="68" t="n"/>
      <c r="F313" s="68" t="n"/>
      <c r="J313" s="68" t="n"/>
      <c r="L313" s="68" t="n"/>
      <c r="M313" s="68" t="n"/>
      <c r="Q313" s="68" t="n"/>
      <c r="R313" s="68" t="n"/>
      <c r="S313" s="68" t="n"/>
      <c r="T313" s="68" t="n"/>
      <c r="U313" s="68" t="n"/>
      <c r="Z313" s="68" t="n"/>
      <c r="AA313" s="68" t="n"/>
      <c r="AG313" s="68" t="n"/>
      <c r="AH313" s="68" t="n"/>
    </row>
    <row r="314">
      <c r="E314" s="68" t="n"/>
      <c r="F314" s="68" t="n"/>
      <c r="J314" s="68" t="n"/>
      <c r="L314" s="68" t="n"/>
      <c r="M314" s="68" t="n"/>
      <c r="Q314" s="68" t="n"/>
      <c r="R314" s="68" t="n"/>
      <c r="S314" s="68" t="n"/>
      <c r="T314" s="68" t="n"/>
      <c r="U314" s="68" t="n"/>
      <c r="Z314" s="68" t="n"/>
      <c r="AA314" s="68" t="n"/>
      <c r="AG314" s="68" t="n"/>
      <c r="AH314" s="68" t="n"/>
    </row>
    <row r="315">
      <c r="E315" s="68" t="n"/>
      <c r="F315" s="68" t="n"/>
      <c r="J315" s="68" t="n"/>
      <c r="L315" s="68" t="n"/>
      <c r="M315" s="68" t="n"/>
      <c r="Q315" s="68" t="n"/>
      <c r="R315" s="68" t="n"/>
      <c r="S315" s="68" t="n"/>
      <c r="T315" s="68" t="n"/>
      <c r="U315" s="68" t="n"/>
      <c r="Z315" s="68" t="n"/>
      <c r="AA315" s="68" t="n"/>
      <c r="AG315" s="68" t="n"/>
      <c r="AH315" s="68" t="n"/>
    </row>
    <row r="316">
      <c r="E316" s="68" t="n"/>
      <c r="F316" s="68" t="n"/>
      <c r="J316" s="68" t="n"/>
      <c r="L316" s="68" t="n"/>
      <c r="M316" s="68" t="n"/>
      <c r="Q316" s="68" t="n"/>
      <c r="R316" s="68" t="n"/>
      <c r="S316" s="68" t="n"/>
      <c r="T316" s="68" t="n"/>
      <c r="U316" s="68" t="n"/>
      <c r="Z316" s="68" t="n"/>
      <c r="AA316" s="68" t="n"/>
      <c r="AG316" s="68" t="n"/>
      <c r="AH316" s="68" t="n"/>
    </row>
    <row r="317">
      <c r="E317" s="68" t="n"/>
      <c r="F317" s="68" t="n"/>
      <c r="J317" s="68" t="n"/>
      <c r="L317" s="68" t="n"/>
      <c r="M317" s="68" t="n"/>
      <c r="Q317" s="68" t="n"/>
      <c r="R317" s="68" t="n"/>
      <c r="S317" s="68" t="n"/>
      <c r="T317" s="68" t="n"/>
      <c r="U317" s="68" t="n"/>
      <c r="Z317" s="68" t="n"/>
      <c r="AA317" s="68" t="n"/>
      <c r="AG317" s="68" t="n"/>
      <c r="AH317" s="68" t="n"/>
    </row>
    <row r="318">
      <c r="E318" s="68" t="n"/>
      <c r="F318" s="68" t="n"/>
      <c r="J318" s="68" t="n"/>
      <c r="L318" s="68" t="n"/>
      <c r="M318" s="68" t="n"/>
      <c r="Q318" s="68" t="n"/>
      <c r="R318" s="68" t="n"/>
      <c r="S318" s="68" t="n"/>
      <c r="T318" s="68" t="n"/>
      <c r="U318" s="68" t="n"/>
      <c r="Z318" s="68" t="n"/>
      <c r="AA318" s="68" t="n"/>
      <c r="AG318" s="68" t="n"/>
      <c r="AH318" s="68" t="n"/>
    </row>
    <row r="319">
      <c r="E319" s="68" t="n"/>
      <c r="F319" s="68" t="n"/>
      <c r="J319" s="68" t="n"/>
      <c r="L319" s="68" t="n"/>
      <c r="M319" s="68" t="n"/>
      <c r="Q319" s="68" t="n"/>
      <c r="R319" s="68" t="n"/>
      <c r="S319" s="68" t="n"/>
      <c r="T319" s="68" t="n"/>
      <c r="U319" s="68" t="n"/>
      <c r="Z319" s="68" t="n"/>
      <c r="AA319" s="68" t="n"/>
      <c r="AG319" s="68" t="n"/>
      <c r="AH319" s="68" t="n"/>
    </row>
    <row r="320">
      <c r="E320" s="68" t="n"/>
      <c r="F320" s="68" t="n"/>
      <c r="J320" s="68" t="n"/>
      <c r="L320" s="68" t="n"/>
      <c r="M320" s="68" t="n"/>
      <c r="Q320" s="68" t="n"/>
      <c r="R320" s="68" t="n"/>
      <c r="S320" s="68" t="n"/>
      <c r="T320" s="68" t="n"/>
      <c r="U320" s="68" t="n"/>
      <c r="Z320" s="68" t="n"/>
      <c r="AA320" s="68" t="n"/>
      <c r="AG320" s="68" t="n"/>
      <c r="AH320" s="68" t="n"/>
    </row>
    <row r="321">
      <c r="E321" s="68" t="n"/>
      <c r="F321" s="68" t="n"/>
      <c r="J321" s="68" t="n"/>
      <c r="L321" s="68" t="n"/>
      <c r="M321" s="68" t="n"/>
      <c r="Q321" s="68" t="n"/>
      <c r="R321" s="68" t="n"/>
      <c r="S321" s="68" t="n"/>
      <c r="T321" s="68" t="n"/>
      <c r="U321" s="68" t="n"/>
      <c r="Z321" s="68" t="n"/>
      <c r="AA321" s="68" t="n"/>
      <c r="AG321" s="68" t="n"/>
      <c r="AH321" s="68" t="n"/>
    </row>
    <row r="322">
      <c r="E322" s="68" t="n"/>
      <c r="F322" s="68" t="n"/>
      <c r="J322" s="68" t="n"/>
      <c r="L322" s="68" t="n"/>
      <c r="M322" s="68" t="n"/>
      <c r="Q322" s="68" t="n"/>
      <c r="R322" s="68" t="n"/>
      <c r="S322" s="68" t="n"/>
      <c r="T322" s="68" t="n"/>
      <c r="U322" s="68" t="n"/>
      <c r="Z322" s="68" t="n"/>
      <c r="AA322" s="68" t="n"/>
      <c r="AG322" s="68" t="n"/>
      <c r="AH322" s="68" t="n"/>
    </row>
    <row r="323">
      <c r="E323" s="68" t="n"/>
      <c r="F323" s="68" t="n"/>
      <c r="J323" s="68" t="n"/>
      <c r="L323" s="68" t="n"/>
      <c r="M323" s="68" t="n"/>
      <c r="Q323" s="68" t="n"/>
      <c r="R323" s="68" t="n"/>
      <c r="S323" s="68" t="n"/>
      <c r="T323" s="68" t="n"/>
      <c r="U323" s="68" t="n"/>
      <c r="Z323" s="68" t="n"/>
      <c r="AA323" s="68" t="n"/>
      <c r="AG323" s="68" t="n"/>
      <c r="AH323" s="68" t="n"/>
    </row>
    <row r="324">
      <c r="E324" s="68" t="n"/>
      <c r="F324" s="68" t="n"/>
      <c r="J324" s="68" t="n"/>
      <c r="L324" s="68" t="n"/>
      <c r="M324" s="68" t="n"/>
      <c r="Q324" s="68" t="n"/>
      <c r="R324" s="68" t="n"/>
      <c r="S324" s="68" t="n"/>
      <c r="T324" s="68" t="n"/>
      <c r="U324" s="68" t="n"/>
      <c r="Z324" s="68" t="n"/>
      <c r="AA324" s="68" t="n"/>
      <c r="AG324" s="68" t="n"/>
      <c r="AH324" s="68" t="n"/>
    </row>
    <row r="325">
      <c r="E325" s="68" t="n"/>
      <c r="F325" s="68" t="n"/>
      <c r="J325" s="68" t="n"/>
      <c r="L325" s="68" t="n"/>
      <c r="M325" s="68" t="n"/>
      <c r="Q325" s="68" t="n"/>
      <c r="R325" s="68" t="n"/>
      <c r="S325" s="68" t="n"/>
      <c r="T325" s="68" t="n"/>
      <c r="U325" s="68" t="n"/>
      <c r="Z325" s="68" t="n"/>
      <c r="AA325" s="68" t="n"/>
      <c r="AG325" s="68" t="n"/>
      <c r="AH325" s="68" t="n"/>
    </row>
    <row r="326">
      <c r="E326" s="68" t="n"/>
      <c r="F326" s="68" t="n"/>
      <c r="J326" s="68" t="n"/>
      <c r="L326" s="68" t="n"/>
      <c r="M326" s="68" t="n"/>
      <c r="Q326" s="68" t="n"/>
      <c r="R326" s="68" t="n"/>
      <c r="S326" s="68" t="n"/>
      <c r="T326" s="68" t="n"/>
      <c r="U326" s="68" t="n"/>
      <c r="Z326" s="68" t="n"/>
      <c r="AA326" s="68" t="n"/>
      <c r="AG326" s="68" t="n"/>
      <c r="AH326" s="68" t="n"/>
    </row>
    <row r="327">
      <c r="E327" s="68" t="n"/>
      <c r="F327" s="68" t="n"/>
      <c r="J327" s="68" t="n"/>
      <c r="L327" s="68" t="n"/>
      <c r="M327" s="68" t="n"/>
      <c r="Q327" s="68" t="n"/>
      <c r="R327" s="68" t="n"/>
      <c r="S327" s="68" t="n"/>
      <c r="T327" s="68" t="n"/>
      <c r="U327" s="68" t="n"/>
      <c r="Z327" s="68" t="n"/>
      <c r="AA327" s="68" t="n"/>
      <c r="AG327" s="68" t="n"/>
      <c r="AH327" s="68" t="n"/>
    </row>
    <row r="328">
      <c r="E328" s="68" t="n"/>
      <c r="F328" s="68" t="n"/>
      <c r="J328" s="68" t="n"/>
      <c r="L328" s="68" t="n"/>
      <c r="M328" s="68" t="n"/>
      <c r="Q328" s="68" t="n"/>
      <c r="R328" s="68" t="n"/>
      <c r="S328" s="68" t="n"/>
      <c r="T328" s="68" t="n"/>
      <c r="U328" s="68" t="n"/>
      <c r="Z328" s="68" t="n"/>
      <c r="AA328" s="68" t="n"/>
      <c r="AG328" s="68" t="n"/>
      <c r="AH328" s="68" t="n"/>
    </row>
    <row r="329">
      <c r="E329" s="68" t="n"/>
      <c r="F329" s="68" t="n"/>
      <c r="J329" s="68" t="n"/>
      <c r="L329" s="68" t="n"/>
      <c r="M329" s="68" t="n"/>
      <c r="Q329" s="68" t="n"/>
      <c r="R329" s="68" t="n"/>
      <c r="S329" s="68" t="n"/>
      <c r="T329" s="68" t="n"/>
      <c r="U329" s="68" t="n"/>
      <c r="Z329" s="68" t="n"/>
      <c r="AA329" s="68" t="n"/>
      <c r="AG329" s="68" t="n"/>
      <c r="AH329" s="68" t="n"/>
    </row>
    <row r="330">
      <c r="E330" s="68" t="n"/>
      <c r="F330" s="68" t="n"/>
      <c r="J330" s="68" t="n"/>
      <c r="L330" s="68" t="n"/>
      <c r="M330" s="68" t="n"/>
      <c r="Q330" s="68" t="n"/>
      <c r="R330" s="68" t="n"/>
      <c r="S330" s="68" t="n"/>
      <c r="T330" s="68" t="n"/>
      <c r="U330" s="68" t="n"/>
      <c r="Z330" s="68" t="n"/>
      <c r="AA330" s="68" t="n"/>
      <c r="AG330" s="68" t="n"/>
      <c r="AH330" s="68" t="n"/>
    </row>
    <row r="331">
      <c r="E331" s="68" t="n"/>
      <c r="F331" s="68" t="n"/>
      <c r="J331" s="68" t="n"/>
      <c r="L331" s="68" t="n"/>
      <c r="M331" s="68" t="n"/>
      <c r="Q331" s="68" t="n"/>
      <c r="R331" s="68" t="n"/>
      <c r="S331" s="68" t="n"/>
      <c r="T331" s="68" t="n"/>
      <c r="U331" s="68" t="n"/>
      <c r="Z331" s="68" t="n"/>
      <c r="AA331" s="68" t="n"/>
      <c r="AG331" s="68" t="n"/>
      <c r="AH331" s="68" t="n"/>
    </row>
    <row r="332">
      <c r="E332" s="68" t="n"/>
      <c r="F332" s="68" t="n"/>
      <c r="J332" s="68" t="n"/>
      <c r="L332" s="68" t="n"/>
      <c r="M332" s="68" t="n"/>
      <c r="Q332" s="68" t="n"/>
      <c r="R332" s="68" t="n"/>
      <c r="S332" s="68" t="n"/>
      <c r="T332" s="68" t="n"/>
      <c r="U332" s="68" t="n"/>
      <c r="Z332" s="68" t="n"/>
      <c r="AA332" s="68" t="n"/>
      <c r="AG332" s="68" t="n"/>
      <c r="AH332" s="68" t="n"/>
    </row>
    <row r="333">
      <c r="E333" s="68" t="n"/>
      <c r="F333" s="68" t="n"/>
      <c r="J333" s="68" t="n"/>
      <c r="L333" s="68" t="n"/>
      <c r="M333" s="68" t="n"/>
      <c r="Q333" s="68" t="n"/>
      <c r="R333" s="68" t="n"/>
      <c r="S333" s="68" t="n"/>
      <c r="T333" s="68" t="n"/>
      <c r="U333" s="68" t="n"/>
      <c r="Z333" s="68" t="n"/>
      <c r="AA333" s="68" t="n"/>
      <c r="AG333" s="68" t="n"/>
      <c r="AH333" s="68" t="n"/>
    </row>
    <row r="334">
      <c r="E334" s="68" t="n"/>
      <c r="F334" s="68" t="n"/>
      <c r="J334" s="68" t="n"/>
      <c r="L334" s="68" t="n"/>
      <c r="M334" s="68" t="n"/>
      <c r="Q334" s="68" t="n"/>
      <c r="R334" s="68" t="n"/>
      <c r="S334" s="68" t="n"/>
      <c r="T334" s="68" t="n"/>
      <c r="U334" s="68" t="n"/>
      <c r="Z334" s="68" t="n"/>
      <c r="AA334" s="68" t="n"/>
      <c r="AG334" s="68" t="n"/>
      <c r="AH334" s="68" t="n"/>
    </row>
    <row r="335">
      <c r="E335" s="68" t="n"/>
      <c r="F335" s="68" t="n"/>
      <c r="J335" s="68" t="n"/>
      <c r="L335" s="68" t="n"/>
      <c r="M335" s="68" t="n"/>
      <c r="Q335" s="68" t="n"/>
      <c r="R335" s="68" t="n"/>
      <c r="S335" s="68" t="n"/>
      <c r="T335" s="68" t="n"/>
      <c r="U335" s="68" t="n"/>
      <c r="Z335" s="68" t="n"/>
      <c r="AA335" s="68" t="n"/>
      <c r="AG335" s="68" t="n"/>
      <c r="AH335" s="68" t="n"/>
    </row>
    <row r="336">
      <c r="E336" s="68" t="n"/>
      <c r="F336" s="68" t="n"/>
      <c r="J336" s="68" t="n"/>
      <c r="L336" s="68" t="n"/>
      <c r="M336" s="68" t="n"/>
      <c r="Q336" s="68" t="n"/>
      <c r="R336" s="68" t="n"/>
      <c r="S336" s="68" t="n"/>
      <c r="T336" s="68" t="n"/>
      <c r="U336" s="68" t="n"/>
      <c r="Z336" s="68" t="n"/>
      <c r="AA336" s="68" t="n"/>
      <c r="AG336" s="68" t="n"/>
      <c r="AH336" s="68" t="n"/>
    </row>
    <row r="337">
      <c r="E337" s="68" t="n"/>
      <c r="F337" s="68" t="n"/>
      <c r="J337" s="68" t="n"/>
      <c r="L337" s="68" t="n"/>
      <c r="M337" s="68" t="n"/>
      <c r="Q337" s="68" t="n"/>
      <c r="R337" s="68" t="n"/>
      <c r="S337" s="68" t="n"/>
      <c r="T337" s="68" t="n"/>
      <c r="U337" s="68" t="n"/>
      <c r="Z337" s="68" t="n"/>
      <c r="AA337" s="68" t="n"/>
      <c r="AG337" s="68" t="n"/>
      <c r="AH337" s="68" t="n"/>
    </row>
    <row r="338">
      <c r="E338" s="68" t="n"/>
      <c r="F338" s="68" t="n"/>
      <c r="J338" s="68" t="n"/>
      <c r="L338" s="68" t="n"/>
      <c r="M338" s="68" t="n"/>
      <c r="Q338" s="68" t="n"/>
      <c r="R338" s="68" t="n"/>
      <c r="S338" s="68" t="n"/>
      <c r="T338" s="68" t="n"/>
      <c r="U338" s="68" t="n"/>
      <c r="Z338" s="68" t="n"/>
      <c r="AA338" s="68" t="n"/>
      <c r="AG338" s="68" t="n"/>
      <c r="AH338" s="68" t="n"/>
    </row>
    <row r="339">
      <c r="E339" s="68" t="n"/>
      <c r="F339" s="68" t="n"/>
      <c r="J339" s="68" t="n"/>
      <c r="L339" s="68" t="n"/>
      <c r="M339" s="68" t="n"/>
      <c r="Q339" s="68" t="n"/>
      <c r="R339" s="68" t="n"/>
      <c r="S339" s="68" t="n"/>
      <c r="T339" s="68" t="n"/>
      <c r="U339" s="68" t="n"/>
      <c r="Z339" s="68" t="n"/>
      <c r="AA339" s="68" t="n"/>
      <c r="AG339" s="68" t="n"/>
      <c r="AH339" s="68" t="n"/>
    </row>
    <row r="340">
      <c r="E340" s="68" t="n"/>
      <c r="F340" s="68" t="n"/>
      <c r="J340" s="68" t="n"/>
      <c r="L340" s="68" t="n"/>
      <c r="M340" s="68" t="n"/>
      <c r="Q340" s="68" t="n"/>
      <c r="R340" s="68" t="n"/>
      <c r="S340" s="68" t="n"/>
      <c r="T340" s="68" t="n"/>
      <c r="U340" s="68" t="n"/>
      <c r="Z340" s="68" t="n"/>
      <c r="AA340" s="68" t="n"/>
      <c r="AG340" s="68" t="n"/>
      <c r="AH340" s="68" t="n"/>
    </row>
    <row r="341">
      <c r="E341" s="68" t="n"/>
      <c r="F341" s="68" t="n"/>
      <c r="J341" s="68" t="n"/>
      <c r="L341" s="68" t="n"/>
      <c r="M341" s="68" t="n"/>
      <c r="Q341" s="68" t="n"/>
      <c r="R341" s="68" t="n"/>
      <c r="S341" s="68" t="n"/>
      <c r="T341" s="68" t="n"/>
      <c r="U341" s="68" t="n"/>
      <c r="Z341" s="68" t="n"/>
      <c r="AA341" s="68" t="n"/>
      <c r="AG341" s="68" t="n"/>
      <c r="AH341" s="68" t="n"/>
    </row>
    <row r="342">
      <c r="E342" s="68" t="n"/>
      <c r="F342" s="68" t="n"/>
      <c r="J342" s="68" t="n"/>
      <c r="L342" s="68" t="n"/>
      <c r="M342" s="68" t="n"/>
      <c r="Q342" s="68" t="n"/>
      <c r="R342" s="68" t="n"/>
      <c r="S342" s="68" t="n"/>
      <c r="T342" s="68" t="n"/>
      <c r="U342" s="68" t="n"/>
      <c r="Z342" s="68" t="n"/>
      <c r="AA342" s="68" t="n"/>
      <c r="AG342" s="68" t="n"/>
      <c r="AH342" s="68" t="n"/>
    </row>
    <row r="343">
      <c r="E343" s="68" t="n"/>
      <c r="F343" s="68" t="n"/>
      <c r="J343" s="68" t="n"/>
      <c r="L343" s="68" t="n"/>
      <c r="M343" s="68" t="n"/>
      <c r="Q343" s="68" t="n"/>
      <c r="R343" s="68" t="n"/>
      <c r="S343" s="68" t="n"/>
      <c r="T343" s="68" t="n"/>
      <c r="U343" s="68" t="n"/>
      <c r="Z343" s="68" t="n"/>
      <c r="AA343" s="68" t="n"/>
      <c r="AG343" s="68" t="n"/>
      <c r="AH343" s="68" t="n"/>
    </row>
    <row r="344">
      <c r="E344" s="68" t="n"/>
      <c r="F344" s="68" t="n"/>
      <c r="J344" s="68" t="n"/>
      <c r="L344" s="68" t="n"/>
      <c r="M344" s="68" t="n"/>
      <c r="Q344" s="68" t="n"/>
      <c r="R344" s="68" t="n"/>
      <c r="S344" s="68" t="n"/>
      <c r="T344" s="68" t="n"/>
      <c r="U344" s="68" t="n"/>
      <c r="Z344" s="68" t="n"/>
      <c r="AA344" s="68" t="n"/>
      <c r="AG344" s="68" t="n"/>
      <c r="AH344" s="68" t="n"/>
    </row>
    <row r="345">
      <c r="E345" s="68" t="n"/>
      <c r="F345" s="68" t="n"/>
      <c r="J345" s="68" t="n"/>
      <c r="L345" s="68" t="n"/>
      <c r="M345" s="68" t="n"/>
      <c r="Q345" s="68" t="n"/>
      <c r="R345" s="68" t="n"/>
      <c r="S345" s="68" t="n"/>
      <c r="T345" s="68" t="n"/>
      <c r="U345" s="68" t="n"/>
      <c r="Z345" s="68" t="n"/>
      <c r="AA345" s="68" t="n"/>
      <c r="AG345" s="68" t="n"/>
      <c r="AH345" s="68" t="n"/>
    </row>
    <row r="346">
      <c r="E346" s="68" t="n"/>
      <c r="F346" s="68" t="n"/>
      <c r="J346" s="68" t="n"/>
      <c r="L346" s="68" t="n"/>
      <c r="M346" s="68" t="n"/>
      <c r="Q346" s="68" t="n"/>
      <c r="R346" s="68" t="n"/>
      <c r="S346" s="68" t="n"/>
      <c r="T346" s="68" t="n"/>
      <c r="U346" s="68" t="n"/>
      <c r="Z346" s="68" t="n"/>
      <c r="AA346" s="68" t="n"/>
      <c r="AG346" s="68" t="n"/>
      <c r="AH346" s="68" t="n"/>
    </row>
    <row r="347">
      <c r="E347" s="68" t="n"/>
      <c r="F347" s="68" t="n"/>
      <c r="J347" s="68" t="n"/>
      <c r="L347" s="68" t="n"/>
      <c r="M347" s="68" t="n"/>
      <c r="Q347" s="68" t="n"/>
      <c r="R347" s="68" t="n"/>
      <c r="S347" s="68" t="n"/>
      <c r="T347" s="68" t="n"/>
      <c r="U347" s="68" t="n"/>
      <c r="Z347" s="68" t="n"/>
      <c r="AA347" s="68" t="n"/>
      <c r="AG347" s="68" t="n"/>
      <c r="AH347" s="68" t="n"/>
    </row>
    <row r="348">
      <c r="E348" s="68" t="n"/>
      <c r="F348" s="68" t="n"/>
      <c r="J348" s="68" t="n"/>
      <c r="L348" s="68" t="n"/>
      <c r="M348" s="68" t="n"/>
      <c r="Q348" s="68" t="n"/>
      <c r="R348" s="68" t="n"/>
      <c r="S348" s="68" t="n"/>
      <c r="T348" s="68" t="n"/>
      <c r="U348" s="68" t="n"/>
      <c r="Z348" s="68" t="n"/>
      <c r="AA348" s="68" t="n"/>
      <c r="AG348" s="68" t="n"/>
      <c r="AH348" s="68" t="n"/>
    </row>
    <row r="349">
      <c r="E349" s="68" t="n"/>
      <c r="F349" s="68" t="n"/>
      <c r="J349" s="68" t="n"/>
      <c r="L349" s="68" t="n"/>
      <c r="M349" s="68" t="n"/>
      <c r="Q349" s="68" t="n"/>
      <c r="R349" s="68" t="n"/>
      <c r="S349" s="68" t="n"/>
      <c r="T349" s="68" t="n"/>
      <c r="U349" s="68" t="n"/>
      <c r="Z349" s="68" t="n"/>
      <c r="AA349" s="68" t="n"/>
      <c r="AG349" s="68" t="n"/>
      <c r="AH349" s="68" t="n"/>
    </row>
    <row r="350">
      <c r="E350" s="68" t="n"/>
      <c r="F350" s="68" t="n"/>
      <c r="J350" s="68" t="n"/>
      <c r="L350" s="68" t="n"/>
      <c r="M350" s="68" t="n"/>
      <c r="Q350" s="68" t="n"/>
      <c r="R350" s="68" t="n"/>
      <c r="S350" s="68" t="n"/>
      <c r="T350" s="68" t="n"/>
      <c r="U350" s="68" t="n"/>
      <c r="Z350" s="68" t="n"/>
      <c r="AA350" s="68" t="n"/>
      <c r="AG350" s="68" t="n"/>
      <c r="AH350" s="68" t="n"/>
    </row>
    <row r="351">
      <c r="E351" s="68" t="n"/>
      <c r="F351" s="68" t="n"/>
      <c r="J351" s="68" t="n"/>
      <c r="L351" s="68" t="n"/>
      <c r="M351" s="68" t="n"/>
      <c r="Q351" s="68" t="n"/>
      <c r="R351" s="68" t="n"/>
      <c r="S351" s="68" t="n"/>
      <c r="T351" s="68" t="n"/>
      <c r="U351" s="68" t="n"/>
      <c r="Z351" s="68" t="n"/>
      <c r="AA351" s="68" t="n"/>
      <c r="AG351" s="68" t="n"/>
      <c r="AH351" s="68" t="n"/>
    </row>
    <row r="352">
      <c r="E352" s="68" t="n"/>
      <c r="F352" s="68" t="n"/>
      <c r="J352" s="68" t="n"/>
      <c r="L352" s="68" t="n"/>
      <c r="M352" s="68" t="n"/>
      <c r="Q352" s="68" t="n"/>
      <c r="R352" s="68" t="n"/>
      <c r="S352" s="68" t="n"/>
      <c r="T352" s="68" t="n"/>
      <c r="U352" s="68" t="n"/>
      <c r="Z352" s="68" t="n"/>
      <c r="AA352" s="68" t="n"/>
      <c r="AG352" s="68" t="n"/>
      <c r="AH352" s="68" t="n"/>
    </row>
    <row r="353">
      <c r="E353" s="68" t="n"/>
      <c r="F353" s="68" t="n"/>
      <c r="J353" s="68" t="n"/>
      <c r="L353" s="68" t="n"/>
      <c r="M353" s="68" t="n"/>
      <c r="Q353" s="68" t="n"/>
      <c r="R353" s="68" t="n"/>
      <c r="S353" s="68" t="n"/>
      <c r="T353" s="68" t="n"/>
      <c r="U353" s="68" t="n"/>
      <c r="Z353" s="68" t="n"/>
      <c r="AA353" s="68" t="n"/>
      <c r="AG353" s="68" t="n"/>
      <c r="AH353" s="68" t="n"/>
    </row>
    <row r="354">
      <c r="E354" s="68" t="n"/>
      <c r="F354" s="68" t="n"/>
      <c r="J354" s="68" t="n"/>
      <c r="L354" s="68" t="n"/>
      <c r="M354" s="68" t="n"/>
      <c r="Q354" s="68" t="n"/>
      <c r="R354" s="68" t="n"/>
      <c r="S354" s="68" t="n"/>
      <c r="T354" s="68" t="n"/>
      <c r="U354" s="68" t="n"/>
      <c r="Z354" s="68" t="n"/>
      <c r="AA354" s="68" t="n"/>
      <c r="AG354" s="68" t="n"/>
      <c r="AH354" s="68" t="n"/>
    </row>
    <row r="355">
      <c r="E355" s="68" t="n"/>
      <c r="F355" s="68" t="n"/>
      <c r="J355" s="68" t="n"/>
      <c r="L355" s="68" t="n"/>
      <c r="M355" s="68" t="n"/>
      <c r="Q355" s="68" t="n"/>
      <c r="R355" s="68" t="n"/>
      <c r="S355" s="68" t="n"/>
      <c r="T355" s="68" t="n"/>
      <c r="U355" s="68" t="n"/>
      <c r="Z355" s="68" t="n"/>
      <c r="AA355" s="68" t="n"/>
      <c r="AG355" s="68" t="n"/>
      <c r="AH355" s="68" t="n"/>
    </row>
    <row r="356">
      <c r="E356" s="68" t="n"/>
      <c r="F356" s="68" t="n"/>
      <c r="J356" s="68" t="n"/>
      <c r="L356" s="68" t="n"/>
      <c r="M356" s="68" t="n"/>
      <c r="Q356" s="68" t="n"/>
      <c r="R356" s="68" t="n"/>
      <c r="S356" s="68" t="n"/>
      <c r="T356" s="68" t="n"/>
      <c r="U356" s="68" t="n"/>
      <c r="Z356" s="68" t="n"/>
      <c r="AA356" s="68" t="n"/>
      <c r="AG356" s="68" t="n"/>
      <c r="AH356" s="68" t="n"/>
    </row>
    <row r="357">
      <c r="E357" s="68" t="n"/>
      <c r="F357" s="68" t="n"/>
      <c r="J357" s="68" t="n"/>
      <c r="L357" s="68" t="n"/>
      <c r="M357" s="68" t="n"/>
      <c r="Q357" s="68" t="n"/>
      <c r="R357" s="68" t="n"/>
      <c r="S357" s="68" t="n"/>
      <c r="T357" s="68" t="n"/>
      <c r="U357" s="68" t="n"/>
      <c r="Z357" s="68" t="n"/>
      <c r="AA357" s="68" t="n"/>
      <c r="AG357" s="68" t="n"/>
      <c r="AH357" s="68" t="n"/>
    </row>
    <row r="358">
      <c r="E358" s="68" t="n"/>
      <c r="F358" s="68" t="n"/>
      <c r="J358" s="68" t="n"/>
      <c r="L358" s="68" t="n"/>
      <c r="M358" s="68" t="n"/>
      <c r="Q358" s="68" t="n"/>
      <c r="R358" s="68" t="n"/>
      <c r="S358" s="68" t="n"/>
      <c r="T358" s="68" t="n"/>
      <c r="U358" s="68" t="n"/>
      <c r="Z358" s="68" t="n"/>
      <c r="AA358" s="68" t="n"/>
      <c r="AG358" s="68" t="n"/>
      <c r="AH358" s="68" t="n"/>
    </row>
    <row r="359">
      <c r="E359" s="68" t="n"/>
      <c r="F359" s="68" t="n"/>
      <c r="J359" s="68" t="n"/>
      <c r="L359" s="68" t="n"/>
      <c r="M359" s="68" t="n"/>
      <c r="Q359" s="68" t="n"/>
      <c r="R359" s="68" t="n"/>
      <c r="S359" s="68" t="n"/>
      <c r="T359" s="68" t="n"/>
      <c r="U359" s="68" t="n"/>
      <c r="Z359" s="68" t="n"/>
      <c r="AA359" s="68" t="n"/>
      <c r="AG359" s="68" t="n"/>
      <c r="AH359" s="68" t="n"/>
    </row>
    <row r="360">
      <c r="E360" s="68" t="n"/>
      <c r="F360" s="68" t="n"/>
      <c r="J360" s="68" t="n"/>
      <c r="L360" s="68" t="n"/>
      <c r="M360" s="68" t="n"/>
      <c r="Q360" s="68" t="n"/>
      <c r="R360" s="68" t="n"/>
      <c r="S360" s="68" t="n"/>
      <c r="T360" s="68" t="n"/>
      <c r="U360" s="68" t="n"/>
      <c r="Z360" s="68" t="n"/>
      <c r="AA360" s="68" t="n"/>
      <c r="AG360" s="68" t="n"/>
      <c r="AH360" s="68" t="n"/>
    </row>
    <row r="361">
      <c r="E361" s="68" t="n"/>
      <c r="F361" s="68" t="n"/>
      <c r="J361" s="68" t="n"/>
      <c r="L361" s="68" t="n"/>
      <c r="M361" s="68" t="n"/>
      <c r="Q361" s="68" t="n"/>
      <c r="R361" s="68" t="n"/>
      <c r="S361" s="68" t="n"/>
      <c r="T361" s="68" t="n"/>
      <c r="U361" s="68" t="n"/>
      <c r="Z361" s="68" t="n"/>
      <c r="AA361" s="68" t="n"/>
      <c r="AG361" s="68" t="n"/>
      <c r="AH361" s="68" t="n"/>
    </row>
    <row r="362">
      <c r="E362" s="68" t="n"/>
      <c r="F362" s="68" t="n"/>
      <c r="J362" s="68" t="n"/>
      <c r="L362" s="68" t="n"/>
      <c r="M362" s="68" t="n"/>
      <c r="Q362" s="68" t="n"/>
      <c r="R362" s="68" t="n"/>
      <c r="S362" s="68" t="n"/>
      <c r="T362" s="68" t="n"/>
      <c r="U362" s="68" t="n"/>
      <c r="Z362" s="68" t="n"/>
      <c r="AA362" s="68" t="n"/>
      <c r="AG362" s="68" t="n"/>
      <c r="AH362" s="68" t="n"/>
    </row>
    <row r="363">
      <c r="E363" s="68" t="n"/>
      <c r="F363" s="68" t="n"/>
      <c r="J363" s="68" t="n"/>
      <c r="L363" s="68" t="n"/>
      <c r="M363" s="68" t="n"/>
      <c r="Q363" s="68" t="n"/>
      <c r="R363" s="68" t="n"/>
      <c r="S363" s="68" t="n"/>
      <c r="T363" s="68" t="n"/>
      <c r="U363" s="68" t="n"/>
      <c r="Z363" s="68" t="n"/>
      <c r="AA363" s="68" t="n"/>
      <c r="AG363" s="68" t="n"/>
      <c r="AH363" s="68" t="n"/>
    </row>
    <row r="364">
      <c r="E364" s="68" t="n"/>
      <c r="F364" s="68" t="n"/>
      <c r="J364" s="68" t="n"/>
      <c r="L364" s="68" t="n"/>
      <c r="M364" s="68" t="n"/>
      <c r="Q364" s="68" t="n"/>
      <c r="R364" s="68" t="n"/>
      <c r="S364" s="68" t="n"/>
      <c r="T364" s="68" t="n"/>
      <c r="U364" s="68" t="n"/>
      <c r="Z364" s="68" t="n"/>
      <c r="AA364" s="68" t="n"/>
      <c r="AG364" s="68" t="n"/>
      <c r="AH364" s="68" t="n"/>
    </row>
    <row r="365">
      <c r="E365" s="68" t="n"/>
      <c r="F365" s="68" t="n"/>
      <c r="J365" s="68" t="n"/>
      <c r="L365" s="68" t="n"/>
      <c r="M365" s="68" t="n"/>
      <c r="Q365" s="68" t="n"/>
      <c r="R365" s="68" t="n"/>
      <c r="S365" s="68" t="n"/>
      <c r="T365" s="68" t="n"/>
      <c r="U365" s="68" t="n"/>
      <c r="Z365" s="68" t="n"/>
      <c r="AA365" s="68" t="n"/>
      <c r="AG365" s="68" t="n"/>
      <c r="AH365" s="68" t="n"/>
    </row>
    <row r="366">
      <c r="E366" s="68" t="n"/>
      <c r="F366" s="68" t="n"/>
      <c r="J366" s="68" t="n"/>
      <c r="L366" s="68" t="n"/>
      <c r="M366" s="68" t="n"/>
      <c r="Q366" s="68" t="n"/>
      <c r="R366" s="68" t="n"/>
      <c r="S366" s="68" t="n"/>
      <c r="T366" s="68" t="n"/>
      <c r="U366" s="68" t="n"/>
      <c r="Z366" s="68" t="n"/>
      <c r="AA366" s="68" t="n"/>
      <c r="AG366" s="68" t="n"/>
      <c r="AH366" s="68" t="n"/>
    </row>
    <row r="367">
      <c r="E367" s="68" t="n"/>
      <c r="F367" s="68" t="n"/>
      <c r="J367" s="68" t="n"/>
      <c r="L367" s="68" t="n"/>
      <c r="M367" s="68" t="n"/>
      <c r="Q367" s="68" t="n"/>
      <c r="R367" s="68" t="n"/>
      <c r="S367" s="68" t="n"/>
      <c r="T367" s="68" t="n"/>
      <c r="U367" s="68" t="n"/>
      <c r="Z367" s="68" t="n"/>
      <c r="AA367" s="68" t="n"/>
      <c r="AG367" s="68" t="n"/>
      <c r="AH367" s="68" t="n"/>
    </row>
    <row r="368">
      <c r="E368" s="68" t="n"/>
      <c r="F368" s="68" t="n"/>
      <c r="J368" s="68" t="n"/>
      <c r="L368" s="68" t="n"/>
      <c r="M368" s="68" t="n"/>
      <c r="Q368" s="68" t="n"/>
      <c r="R368" s="68" t="n"/>
      <c r="S368" s="68" t="n"/>
      <c r="T368" s="68" t="n"/>
      <c r="U368" s="68" t="n"/>
      <c r="Z368" s="68" t="n"/>
      <c r="AA368" s="68" t="n"/>
      <c r="AG368" s="68" t="n"/>
      <c r="AH368" s="68" t="n"/>
    </row>
    <row r="369">
      <c r="E369" s="68" t="n"/>
      <c r="F369" s="68" t="n"/>
      <c r="J369" s="68" t="n"/>
      <c r="L369" s="68" t="n"/>
      <c r="M369" s="68" t="n"/>
      <c r="Q369" s="68" t="n"/>
      <c r="R369" s="68" t="n"/>
      <c r="S369" s="68" t="n"/>
      <c r="T369" s="68" t="n"/>
      <c r="U369" s="68" t="n"/>
      <c r="Z369" s="68" t="n"/>
      <c r="AA369" s="68" t="n"/>
      <c r="AG369" s="68" t="n"/>
      <c r="AH369" s="68" t="n"/>
    </row>
    <row r="370">
      <c r="E370" s="68" t="n"/>
      <c r="F370" s="68" t="n"/>
      <c r="J370" s="68" t="n"/>
      <c r="L370" s="68" t="n"/>
      <c r="M370" s="68" t="n"/>
      <c r="Q370" s="68" t="n"/>
      <c r="R370" s="68" t="n"/>
      <c r="S370" s="68" t="n"/>
      <c r="T370" s="68" t="n"/>
      <c r="U370" s="68" t="n"/>
      <c r="Z370" s="68" t="n"/>
      <c r="AA370" s="68" t="n"/>
      <c r="AG370" s="68" t="n"/>
      <c r="AH370" s="68" t="n"/>
    </row>
    <row r="371">
      <c r="E371" s="68" t="n"/>
      <c r="F371" s="68" t="n"/>
      <c r="J371" s="68" t="n"/>
      <c r="L371" s="68" t="n"/>
      <c r="M371" s="68" t="n"/>
      <c r="Q371" s="68" t="n"/>
      <c r="R371" s="68" t="n"/>
      <c r="S371" s="68" t="n"/>
      <c r="T371" s="68" t="n"/>
      <c r="U371" s="68" t="n"/>
      <c r="Z371" s="68" t="n"/>
      <c r="AA371" s="68" t="n"/>
      <c r="AG371" s="68" t="n"/>
      <c r="AH371" s="68" t="n"/>
    </row>
    <row r="372">
      <c r="E372" s="68" t="n"/>
      <c r="F372" s="68" t="n"/>
      <c r="J372" s="68" t="n"/>
      <c r="L372" s="68" t="n"/>
      <c r="M372" s="68" t="n"/>
      <c r="Q372" s="68" t="n"/>
      <c r="R372" s="68" t="n"/>
      <c r="S372" s="68" t="n"/>
      <c r="T372" s="68" t="n"/>
      <c r="U372" s="68" t="n"/>
      <c r="Z372" s="68" t="n"/>
      <c r="AA372" s="68" t="n"/>
      <c r="AG372" s="68" t="n"/>
      <c r="AH372" s="68" t="n"/>
    </row>
    <row r="373">
      <c r="E373" s="68" t="n"/>
      <c r="F373" s="68" t="n"/>
      <c r="J373" s="68" t="n"/>
      <c r="L373" s="68" t="n"/>
      <c r="M373" s="68" t="n"/>
      <c r="Q373" s="68" t="n"/>
      <c r="R373" s="68" t="n"/>
      <c r="S373" s="68" t="n"/>
      <c r="T373" s="68" t="n"/>
      <c r="U373" s="68" t="n"/>
      <c r="Z373" s="68" t="n"/>
      <c r="AA373" s="68" t="n"/>
      <c r="AG373" s="68" t="n"/>
      <c r="AH373" s="68" t="n"/>
    </row>
    <row r="374">
      <c r="E374" s="68" t="n"/>
      <c r="F374" s="68" t="n"/>
      <c r="J374" s="68" t="n"/>
      <c r="L374" s="68" t="n"/>
      <c r="M374" s="68" t="n"/>
      <c r="Q374" s="68" t="n"/>
      <c r="R374" s="68" t="n"/>
      <c r="S374" s="68" t="n"/>
      <c r="T374" s="68" t="n"/>
      <c r="U374" s="68" t="n"/>
      <c r="Z374" s="68" t="n"/>
      <c r="AA374" s="68" t="n"/>
      <c r="AG374" s="68" t="n"/>
      <c r="AH374" s="68" t="n"/>
    </row>
    <row r="375">
      <c r="E375" s="68" t="n"/>
      <c r="F375" s="68" t="n"/>
      <c r="J375" s="68" t="n"/>
      <c r="L375" s="68" t="n"/>
      <c r="M375" s="68" t="n"/>
      <c r="Q375" s="68" t="n"/>
      <c r="R375" s="68" t="n"/>
      <c r="S375" s="68" t="n"/>
      <c r="T375" s="68" t="n"/>
      <c r="U375" s="68" t="n"/>
      <c r="Z375" s="68" t="n"/>
      <c r="AA375" s="68" t="n"/>
      <c r="AG375" s="68" t="n"/>
      <c r="AH375" s="68" t="n"/>
    </row>
    <row r="376">
      <c r="E376" s="68" t="n"/>
      <c r="F376" s="68" t="n"/>
      <c r="J376" s="68" t="n"/>
      <c r="L376" s="68" t="n"/>
      <c r="M376" s="68" t="n"/>
      <c r="Q376" s="68" t="n"/>
      <c r="R376" s="68" t="n"/>
      <c r="S376" s="68" t="n"/>
      <c r="T376" s="68" t="n"/>
      <c r="U376" s="68" t="n"/>
      <c r="Z376" s="68" t="n"/>
      <c r="AA376" s="68" t="n"/>
      <c r="AG376" s="68" t="n"/>
      <c r="AH376" s="68" t="n"/>
    </row>
    <row r="377">
      <c r="E377" s="68" t="n"/>
      <c r="F377" s="68" t="n"/>
      <c r="J377" s="68" t="n"/>
      <c r="L377" s="68" t="n"/>
      <c r="M377" s="68" t="n"/>
      <c r="Q377" s="68" t="n"/>
      <c r="R377" s="68" t="n"/>
      <c r="S377" s="68" t="n"/>
      <c r="T377" s="68" t="n"/>
      <c r="U377" s="68" t="n"/>
      <c r="Z377" s="68" t="n"/>
      <c r="AA377" s="68" t="n"/>
      <c r="AG377" s="68" t="n"/>
      <c r="AH377" s="68" t="n"/>
    </row>
    <row r="378">
      <c r="E378" s="68" t="n"/>
      <c r="F378" s="68" t="n"/>
      <c r="J378" s="68" t="n"/>
      <c r="L378" s="68" t="n"/>
      <c r="M378" s="68" t="n"/>
      <c r="Q378" s="68" t="n"/>
      <c r="R378" s="68" t="n"/>
      <c r="S378" s="68" t="n"/>
      <c r="T378" s="68" t="n"/>
      <c r="U378" s="68" t="n"/>
      <c r="Z378" s="68" t="n"/>
      <c r="AA378" s="68" t="n"/>
      <c r="AG378" s="68" t="n"/>
      <c r="AH378" s="68" t="n"/>
    </row>
    <row r="379">
      <c r="E379" s="68" t="n"/>
      <c r="F379" s="68" t="n"/>
      <c r="J379" s="68" t="n"/>
      <c r="L379" s="68" t="n"/>
      <c r="M379" s="68" t="n"/>
      <c r="Q379" s="68" t="n"/>
      <c r="R379" s="68" t="n"/>
      <c r="S379" s="68" t="n"/>
      <c r="T379" s="68" t="n"/>
      <c r="U379" s="68" t="n"/>
      <c r="Z379" s="68" t="n"/>
      <c r="AA379" s="68" t="n"/>
      <c r="AG379" s="68" t="n"/>
      <c r="AH379" s="68" t="n"/>
    </row>
    <row r="380">
      <c r="E380" s="68" t="n"/>
      <c r="F380" s="68" t="n"/>
      <c r="J380" s="68" t="n"/>
      <c r="L380" s="68" t="n"/>
      <c r="M380" s="68" t="n"/>
      <c r="Q380" s="68" t="n"/>
      <c r="R380" s="68" t="n"/>
      <c r="S380" s="68" t="n"/>
      <c r="T380" s="68" t="n"/>
      <c r="U380" s="68" t="n"/>
      <c r="Z380" s="68" t="n"/>
      <c r="AA380" s="68" t="n"/>
      <c r="AG380" s="68" t="n"/>
      <c r="AH380" s="68" t="n"/>
    </row>
    <row r="381">
      <c r="E381" s="68" t="n"/>
      <c r="F381" s="68" t="n"/>
      <c r="J381" s="68" t="n"/>
      <c r="L381" s="68" t="n"/>
      <c r="M381" s="68" t="n"/>
      <c r="Q381" s="68" t="n"/>
      <c r="R381" s="68" t="n"/>
      <c r="S381" s="68" t="n"/>
      <c r="T381" s="68" t="n"/>
      <c r="U381" s="68" t="n"/>
      <c r="Z381" s="68" t="n"/>
      <c r="AA381" s="68" t="n"/>
      <c r="AG381" s="68" t="n"/>
      <c r="AH381" s="68" t="n"/>
    </row>
    <row r="382">
      <c r="E382" s="68" t="n"/>
      <c r="F382" s="68" t="n"/>
      <c r="J382" s="68" t="n"/>
      <c r="L382" s="68" t="n"/>
      <c r="M382" s="68" t="n"/>
      <c r="Q382" s="68" t="n"/>
      <c r="R382" s="68" t="n"/>
      <c r="S382" s="68" t="n"/>
      <c r="T382" s="68" t="n"/>
      <c r="U382" s="68" t="n"/>
      <c r="Z382" s="68" t="n"/>
      <c r="AA382" s="68" t="n"/>
      <c r="AG382" s="68" t="n"/>
      <c r="AH382" s="68" t="n"/>
    </row>
    <row r="383">
      <c r="E383" s="68" t="n"/>
      <c r="F383" s="68" t="n"/>
      <c r="J383" s="68" t="n"/>
      <c r="L383" s="68" t="n"/>
      <c r="M383" s="68" t="n"/>
      <c r="Q383" s="68" t="n"/>
      <c r="R383" s="68" t="n"/>
      <c r="S383" s="68" t="n"/>
      <c r="T383" s="68" t="n"/>
      <c r="U383" s="68" t="n"/>
      <c r="Z383" s="68" t="n"/>
      <c r="AA383" s="68" t="n"/>
      <c r="AG383" s="68" t="n"/>
      <c r="AH383" s="68" t="n"/>
    </row>
    <row r="384">
      <c r="E384" s="68" t="n"/>
      <c r="F384" s="68" t="n"/>
      <c r="J384" s="68" t="n"/>
      <c r="L384" s="68" t="n"/>
      <c r="M384" s="68" t="n"/>
      <c r="Q384" s="68" t="n"/>
      <c r="R384" s="68" t="n"/>
      <c r="S384" s="68" t="n"/>
      <c r="T384" s="68" t="n"/>
      <c r="U384" s="68" t="n"/>
      <c r="Z384" s="68" t="n"/>
      <c r="AA384" s="68" t="n"/>
      <c r="AG384" s="68" t="n"/>
      <c r="AH384" s="68" t="n"/>
    </row>
    <row r="385">
      <c r="E385" s="68" t="n"/>
      <c r="F385" s="68" t="n"/>
      <c r="J385" s="68" t="n"/>
      <c r="L385" s="68" t="n"/>
      <c r="M385" s="68" t="n"/>
      <c r="Q385" s="68" t="n"/>
      <c r="R385" s="68" t="n"/>
      <c r="S385" s="68" t="n"/>
      <c r="T385" s="68" t="n"/>
      <c r="U385" s="68" t="n"/>
      <c r="Z385" s="68" t="n"/>
      <c r="AA385" s="68" t="n"/>
      <c r="AG385" s="68" t="n"/>
      <c r="AH385" s="68" t="n"/>
    </row>
    <row r="386">
      <c r="E386" s="68" t="n"/>
      <c r="F386" s="68" t="n"/>
      <c r="J386" s="68" t="n"/>
      <c r="L386" s="68" t="n"/>
      <c r="M386" s="68" t="n"/>
      <c r="Q386" s="68" t="n"/>
      <c r="R386" s="68" t="n"/>
      <c r="S386" s="68" t="n"/>
      <c r="T386" s="68" t="n"/>
      <c r="U386" s="68" t="n"/>
      <c r="Z386" s="68" t="n"/>
      <c r="AA386" s="68" t="n"/>
      <c r="AG386" s="68" t="n"/>
      <c r="AH386" s="68" t="n"/>
    </row>
    <row r="387">
      <c r="E387" s="68" t="n"/>
      <c r="F387" s="68" t="n"/>
      <c r="J387" s="68" t="n"/>
      <c r="L387" s="68" t="n"/>
      <c r="M387" s="68" t="n"/>
      <c r="Q387" s="68" t="n"/>
      <c r="R387" s="68" t="n"/>
      <c r="S387" s="68" t="n"/>
      <c r="T387" s="68" t="n"/>
      <c r="U387" s="68" t="n"/>
      <c r="Z387" s="68" t="n"/>
      <c r="AA387" s="68" t="n"/>
      <c r="AG387" s="68" t="n"/>
      <c r="AH387" s="68" t="n"/>
    </row>
    <row r="388">
      <c r="E388" s="68" t="n"/>
      <c r="F388" s="68" t="n"/>
      <c r="J388" s="68" t="n"/>
      <c r="L388" s="68" t="n"/>
      <c r="M388" s="68" t="n"/>
      <c r="Q388" s="68" t="n"/>
      <c r="R388" s="68" t="n"/>
      <c r="S388" s="68" t="n"/>
      <c r="T388" s="68" t="n"/>
      <c r="U388" s="68" t="n"/>
      <c r="Z388" s="68" t="n"/>
      <c r="AA388" s="68" t="n"/>
      <c r="AG388" s="68" t="n"/>
      <c r="AH388" s="68" t="n"/>
    </row>
    <row r="389">
      <c r="E389" s="68" t="n"/>
      <c r="F389" s="68" t="n"/>
      <c r="J389" s="68" t="n"/>
      <c r="L389" s="68" t="n"/>
      <c r="M389" s="68" t="n"/>
      <c r="Q389" s="68" t="n"/>
      <c r="R389" s="68" t="n"/>
      <c r="S389" s="68" t="n"/>
      <c r="T389" s="68" t="n"/>
      <c r="U389" s="68" t="n"/>
      <c r="Z389" s="68" t="n"/>
      <c r="AA389" s="68" t="n"/>
      <c r="AG389" s="68" t="n"/>
      <c r="AH389" s="68" t="n"/>
    </row>
    <row r="390">
      <c r="E390" s="68" t="n"/>
      <c r="F390" s="68" t="n"/>
      <c r="J390" s="68" t="n"/>
      <c r="L390" s="68" t="n"/>
      <c r="M390" s="68" t="n"/>
      <c r="Q390" s="68" t="n"/>
      <c r="R390" s="68" t="n"/>
      <c r="S390" s="68" t="n"/>
      <c r="T390" s="68" t="n"/>
      <c r="U390" s="68" t="n"/>
      <c r="Z390" s="68" t="n"/>
      <c r="AA390" s="68" t="n"/>
      <c r="AG390" s="68" t="n"/>
      <c r="AH390" s="68" t="n"/>
    </row>
    <row r="391">
      <c r="E391" s="68" t="n"/>
      <c r="F391" s="68" t="n"/>
      <c r="J391" s="68" t="n"/>
      <c r="L391" s="68" t="n"/>
      <c r="M391" s="68" t="n"/>
      <c r="Q391" s="68" t="n"/>
      <c r="R391" s="68" t="n"/>
      <c r="S391" s="68" t="n"/>
      <c r="T391" s="68" t="n"/>
      <c r="U391" s="68" t="n"/>
      <c r="Z391" s="68" t="n"/>
      <c r="AA391" s="68" t="n"/>
      <c r="AG391" s="68" t="n"/>
      <c r="AH391" s="68" t="n"/>
    </row>
    <row r="392">
      <c r="E392" s="68" t="n"/>
      <c r="F392" s="68" t="n"/>
      <c r="J392" s="68" t="n"/>
      <c r="L392" s="68" t="n"/>
      <c r="M392" s="68" t="n"/>
      <c r="Q392" s="68" t="n"/>
      <c r="R392" s="68" t="n"/>
      <c r="S392" s="68" t="n"/>
      <c r="T392" s="68" t="n"/>
      <c r="U392" s="68" t="n"/>
      <c r="Z392" s="68" t="n"/>
      <c r="AA392" s="68" t="n"/>
      <c r="AG392" s="68" t="n"/>
      <c r="AH392" s="68" t="n"/>
    </row>
    <row r="393">
      <c r="E393" s="68" t="n"/>
      <c r="F393" s="68" t="n"/>
      <c r="J393" s="68" t="n"/>
      <c r="L393" s="68" t="n"/>
      <c r="M393" s="68" t="n"/>
      <c r="Q393" s="68" t="n"/>
      <c r="R393" s="68" t="n"/>
      <c r="S393" s="68" t="n"/>
      <c r="T393" s="68" t="n"/>
      <c r="U393" s="68" t="n"/>
      <c r="Z393" s="68" t="n"/>
      <c r="AA393" s="68" t="n"/>
      <c r="AG393" s="68" t="n"/>
      <c r="AH393" s="68" t="n"/>
    </row>
    <row r="394">
      <c r="E394" s="68" t="n"/>
      <c r="F394" s="68" t="n"/>
      <c r="J394" s="68" t="n"/>
      <c r="L394" s="68" t="n"/>
      <c r="M394" s="68" t="n"/>
      <c r="Q394" s="68" t="n"/>
      <c r="R394" s="68" t="n"/>
      <c r="S394" s="68" t="n"/>
      <c r="T394" s="68" t="n"/>
      <c r="U394" s="68" t="n"/>
      <c r="Z394" s="68" t="n"/>
      <c r="AA394" s="68" t="n"/>
      <c r="AG394" s="68" t="n"/>
      <c r="AH394" s="68" t="n"/>
    </row>
    <row r="395">
      <c r="E395" s="68" t="n"/>
      <c r="F395" s="68" t="n"/>
      <c r="J395" s="68" t="n"/>
      <c r="L395" s="68" t="n"/>
      <c r="M395" s="68" t="n"/>
      <c r="Q395" s="68" t="n"/>
      <c r="R395" s="68" t="n"/>
      <c r="S395" s="68" t="n"/>
      <c r="T395" s="68" t="n"/>
      <c r="U395" s="68" t="n"/>
      <c r="Z395" s="68" t="n"/>
      <c r="AA395" s="68" t="n"/>
      <c r="AG395" s="68" t="n"/>
      <c r="AH395" s="68" t="n"/>
    </row>
    <row r="396">
      <c r="E396" s="68" t="n"/>
      <c r="F396" s="68" t="n"/>
      <c r="J396" s="68" t="n"/>
      <c r="L396" s="68" t="n"/>
      <c r="M396" s="68" t="n"/>
      <c r="Q396" s="68" t="n"/>
      <c r="R396" s="68" t="n"/>
      <c r="S396" s="68" t="n"/>
      <c r="T396" s="68" t="n"/>
      <c r="U396" s="68" t="n"/>
      <c r="Z396" s="68" t="n"/>
      <c r="AA396" s="68" t="n"/>
      <c r="AG396" s="68" t="n"/>
      <c r="AH396" s="68" t="n"/>
    </row>
    <row r="397">
      <c r="E397" s="68" t="n"/>
      <c r="F397" s="68" t="n"/>
      <c r="J397" s="68" t="n"/>
      <c r="L397" s="68" t="n"/>
      <c r="M397" s="68" t="n"/>
      <c r="Q397" s="68" t="n"/>
      <c r="R397" s="68" t="n"/>
      <c r="S397" s="68" t="n"/>
      <c r="T397" s="68" t="n"/>
      <c r="U397" s="68" t="n"/>
      <c r="Z397" s="68" t="n"/>
      <c r="AA397" s="68" t="n"/>
      <c r="AG397" s="68" t="n"/>
      <c r="AH397" s="68" t="n"/>
    </row>
    <row r="398">
      <c r="E398" s="68" t="n"/>
      <c r="F398" s="68" t="n"/>
      <c r="J398" s="68" t="n"/>
      <c r="L398" s="68" t="n"/>
      <c r="M398" s="68" t="n"/>
      <c r="Q398" s="68" t="n"/>
      <c r="R398" s="68" t="n"/>
      <c r="S398" s="68" t="n"/>
      <c r="T398" s="68" t="n"/>
      <c r="U398" s="68" t="n"/>
      <c r="Z398" s="68" t="n"/>
      <c r="AA398" s="68" t="n"/>
      <c r="AG398" s="68" t="n"/>
      <c r="AH398" s="68" t="n"/>
    </row>
    <row r="399">
      <c r="E399" s="68" t="n"/>
      <c r="F399" s="68" t="n"/>
      <c r="J399" s="68" t="n"/>
      <c r="L399" s="68" t="n"/>
      <c r="M399" s="68" t="n"/>
      <c r="Q399" s="68" t="n"/>
      <c r="R399" s="68" t="n"/>
      <c r="S399" s="68" t="n"/>
      <c r="T399" s="68" t="n"/>
      <c r="U399" s="68" t="n"/>
      <c r="Z399" s="68" t="n"/>
      <c r="AA399" s="68" t="n"/>
      <c r="AG399" s="68" t="n"/>
      <c r="AH399" s="68" t="n"/>
    </row>
    <row r="400">
      <c r="E400" s="68" t="n"/>
      <c r="F400" s="68" t="n"/>
      <c r="J400" s="68" t="n"/>
      <c r="L400" s="68" t="n"/>
      <c r="M400" s="68" t="n"/>
      <c r="Q400" s="68" t="n"/>
      <c r="R400" s="68" t="n"/>
      <c r="S400" s="68" t="n"/>
      <c r="T400" s="68" t="n"/>
      <c r="U400" s="68" t="n"/>
      <c r="Z400" s="68" t="n"/>
      <c r="AA400" s="68" t="n"/>
      <c r="AG400" s="68" t="n"/>
      <c r="AH400" s="68" t="n"/>
    </row>
    <row r="401">
      <c r="E401" s="68" t="n"/>
      <c r="F401" s="68" t="n"/>
      <c r="J401" s="68" t="n"/>
      <c r="L401" s="68" t="n"/>
      <c r="M401" s="68" t="n"/>
      <c r="Q401" s="68" t="n"/>
      <c r="R401" s="68" t="n"/>
      <c r="S401" s="68" t="n"/>
      <c r="T401" s="68" t="n"/>
      <c r="U401" s="68" t="n"/>
      <c r="Z401" s="68" t="n"/>
      <c r="AA401" s="68" t="n"/>
      <c r="AG401" s="68" t="n"/>
      <c r="AH401" s="68" t="n"/>
    </row>
    <row r="402">
      <c r="E402" s="68" t="n"/>
      <c r="F402" s="68" t="n"/>
      <c r="J402" s="68" t="n"/>
      <c r="L402" s="68" t="n"/>
      <c r="M402" s="68" t="n"/>
      <c r="Q402" s="68" t="n"/>
      <c r="R402" s="68" t="n"/>
      <c r="S402" s="68" t="n"/>
      <c r="T402" s="68" t="n"/>
      <c r="U402" s="68" t="n"/>
      <c r="Z402" s="68" t="n"/>
      <c r="AA402" s="68" t="n"/>
      <c r="AG402" s="68" t="n"/>
      <c r="AH402" s="68" t="n"/>
    </row>
    <row r="403">
      <c r="E403" s="68" t="n"/>
      <c r="F403" s="68" t="n"/>
      <c r="J403" s="68" t="n"/>
      <c r="L403" s="68" t="n"/>
      <c r="M403" s="68" t="n"/>
      <c r="Q403" s="68" t="n"/>
      <c r="R403" s="68" t="n"/>
      <c r="S403" s="68" t="n"/>
      <c r="T403" s="68" t="n"/>
      <c r="U403" s="68" t="n"/>
      <c r="Z403" s="68" t="n"/>
      <c r="AA403" s="68" t="n"/>
      <c r="AG403" s="68" t="n"/>
      <c r="AH403" s="68" t="n"/>
    </row>
    <row r="404">
      <c r="E404" s="68" t="n"/>
      <c r="F404" s="68" t="n"/>
      <c r="J404" s="68" t="n"/>
      <c r="L404" s="68" t="n"/>
      <c r="M404" s="68" t="n"/>
      <c r="Q404" s="68" t="n"/>
      <c r="R404" s="68" t="n"/>
      <c r="S404" s="68" t="n"/>
      <c r="T404" s="68" t="n"/>
      <c r="U404" s="68" t="n"/>
      <c r="Z404" s="68" t="n"/>
      <c r="AA404" s="68" t="n"/>
      <c r="AG404" s="68" t="n"/>
      <c r="AH404" s="68" t="n"/>
    </row>
    <row r="405">
      <c r="E405" s="68" t="n"/>
      <c r="F405" s="68" t="n"/>
      <c r="J405" s="68" t="n"/>
      <c r="L405" s="68" t="n"/>
      <c r="M405" s="68" t="n"/>
      <c r="Q405" s="68" t="n"/>
      <c r="R405" s="68" t="n"/>
      <c r="S405" s="68" t="n"/>
      <c r="T405" s="68" t="n"/>
      <c r="U405" s="68" t="n"/>
      <c r="Z405" s="68" t="n"/>
      <c r="AA405" s="68" t="n"/>
      <c r="AG405" s="68" t="n"/>
      <c r="AH405" s="68" t="n"/>
    </row>
    <row r="406">
      <c r="E406" s="68" t="n"/>
      <c r="F406" s="68" t="n"/>
      <c r="J406" s="68" t="n"/>
      <c r="L406" s="68" t="n"/>
      <c r="M406" s="68" t="n"/>
      <c r="Q406" s="68" t="n"/>
      <c r="R406" s="68" t="n"/>
      <c r="S406" s="68" t="n"/>
      <c r="T406" s="68" t="n"/>
      <c r="U406" s="68" t="n"/>
      <c r="Z406" s="68" t="n"/>
      <c r="AA406" s="68" t="n"/>
      <c r="AG406" s="68" t="n"/>
      <c r="AH406" s="68" t="n"/>
    </row>
    <row r="407">
      <c r="E407" s="68" t="n"/>
      <c r="F407" s="68" t="n"/>
      <c r="J407" s="68" t="n"/>
      <c r="L407" s="68" t="n"/>
      <c r="M407" s="68" t="n"/>
      <c r="Q407" s="68" t="n"/>
      <c r="R407" s="68" t="n"/>
      <c r="S407" s="68" t="n"/>
      <c r="T407" s="68" t="n"/>
      <c r="U407" s="68" t="n"/>
      <c r="Z407" s="68" t="n"/>
      <c r="AA407" s="68" t="n"/>
      <c r="AG407" s="68" t="n"/>
      <c r="AH407" s="68" t="n"/>
    </row>
    <row r="408">
      <c r="E408" s="68" t="n"/>
      <c r="F408" s="68" t="n"/>
      <c r="J408" s="68" t="n"/>
      <c r="L408" s="68" t="n"/>
      <c r="M408" s="68" t="n"/>
      <c r="Q408" s="68" t="n"/>
      <c r="R408" s="68" t="n"/>
      <c r="S408" s="68" t="n"/>
      <c r="T408" s="68" t="n"/>
      <c r="U408" s="68" t="n"/>
      <c r="Z408" s="68" t="n"/>
      <c r="AA408" s="68" t="n"/>
      <c r="AG408" s="68" t="n"/>
      <c r="AH408" s="68" t="n"/>
    </row>
    <row r="409">
      <c r="E409" s="68" t="n"/>
      <c r="F409" s="68" t="n"/>
      <c r="J409" s="68" t="n"/>
      <c r="L409" s="68" t="n"/>
      <c r="M409" s="68" t="n"/>
      <c r="Q409" s="68" t="n"/>
      <c r="R409" s="68" t="n"/>
      <c r="S409" s="68" t="n"/>
      <c r="T409" s="68" t="n"/>
      <c r="U409" s="68" t="n"/>
      <c r="Z409" s="68" t="n"/>
      <c r="AA409" s="68" t="n"/>
      <c r="AG409" s="68" t="n"/>
      <c r="AH409" s="68" t="n"/>
    </row>
    <row r="410">
      <c r="E410" s="68" t="n"/>
      <c r="F410" s="68" t="n"/>
      <c r="J410" s="68" t="n"/>
      <c r="L410" s="68" t="n"/>
      <c r="M410" s="68" t="n"/>
      <c r="Q410" s="68" t="n"/>
      <c r="R410" s="68" t="n"/>
      <c r="S410" s="68" t="n"/>
      <c r="T410" s="68" t="n"/>
      <c r="U410" s="68" t="n"/>
      <c r="Z410" s="68" t="n"/>
      <c r="AA410" s="68" t="n"/>
      <c r="AG410" s="68" t="n"/>
      <c r="AH410" s="68" t="n"/>
    </row>
    <row r="411">
      <c r="E411" s="68" t="n"/>
      <c r="F411" s="68" t="n"/>
      <c r="J411" s="68" t="n"/>
      <c r="L411" s="68" t="n"/>
      <c r="M411" s="68" t="n"/>
      <c r="Q411" s="68" t="n"/>
      <c r="R411" s="68" t="n"/>
      <c r="S411" s="68" t="n"/>
      <c r="T411" s="68" t="n"/>
      <c r="U411" s="68" t="n"/>
      <c r="Z411" s="68" t="n"/>
      <c r="AA411" s="68" t="n"/>
      <c r="AG411" s="68" t="n"/>
      <c r="AH411" s="68" t="n"/>
    </row>
    <row r="412">
      <c r="E412" s="68" t="n"/>
      <c r="F412" s="68" t="n"/>
      <c r="J412" s="68" t="n"/>
      <c r="L412" s="68" t="n"/>
      <c r="M412" s="68" t="n"/>
      <c r="Q412" s="68" t="n"/>
      <c r="R412" s="68" t="n"/>
      <c r="S412" s="68" t="n"/>
      <c r="T412" s="68" t="n"/>
      <c r="U412" s="68" t="n"/>
      <c r="Z412" s="68" t="n"/>
      <c r="AA412" s="68" t="n"/>
      <c r="AG412" s="68" t="n"/>
      <c r="AH412" s="68" t="n"/>
    </row>
    <row r="413">
      <c r="E413" s="68" t="n"/>
      <c r="F413" s="68" t="n"/>
      <c r="J413" s="68" t="n"/>
      <c r="L413" s="68" t="n"/>
      <c r="M413" s="68" t="n"/>
      <c r="Q413" s="68" t="n"/>
      <c r="R413" s="68" t="n"/>
      <c r="S413" s="68" t="n"/>
      <c r="T413" s="68" t="n"/>
      <c r="U413" s="68" t="n"/>
      <c r="Z413" s="68" t="n"/>
      <c r="AA413" s="68" t="n"/>
      <c r="AG413" s="68" t="n"/>
      <c r="AH413" s="68" t="n"/>
    </row>
    <row r="414">
      <c r="E414" s="68" t="n"/>
      <c r="F414" s="68" t="n"/>
      <c r="J414" s="68" t="n"/>
      <c r="L414" s="68" t="n"/>
      <c r="M414" s="68" t="n"/>
      <c r="Q414" s="68" t="n"/>
      <c r="R414" s="68" t="n"/>
      <c r="S414" s="68" t="n"/>
      <c r="T414" s="68" t="n"/>
      <c r="U414" s="68" t="n"/>
      <c r="Z414" s="68" t="n"/>
      <c r="AA414" s="68" t="n"/>
      <c r="AG414" s="68" t="n"/>
      <c r="AH414" s="68" t="n"/>
    </row>
    <row r="415">
      <c r="E415" s="68" t="n"/>
      <c r="F415" s="68" t="n"/>
      <c r="J415" s="68" t="n"/>
      <c r="L415" s="68" t="n"/>
      <c r="M415" s="68" t="n"/>
      <c r="Q415" s="68" t="n"/>
      <c r="R415" s="68" t="n"/>
      <c r="S415" s="68" t="n"/>
      <c r="T415" s="68" t="n"/>
      <c r="U415" s="68" t="n"/>
      <c r="Z415" s="68" t="n"/>
      <c r="AA415" s="68" t="n"/>
      <c r="AG415" s="68" t="n"/>
      <c r="AH415" s="68" t="n"/>
    </row>
    <row r="416">
      <c r="E416" s="68" t="n"/>
      <c r="F416" s="68" t="n"/>
      <c r="J416" s="68" t="n"/>
      <c r="L416" s="68" t="n"/>
      <c r="M416" s="68" t="n"/>
      <c r="Q416" s="68" t="n"/>
      <c r="R416" s="68" t="n"/>
      <c r="S416" s="68" t="n"/>
      <c r="T416" s="68" t="n"/>
      <c r="U416" s="68" t="n"/>
      <c r="Z416" s="68" t="n"/>
      <c r="AA416" s="68" t="n"/>
      <c r="AG416" s="68" t="n"/>
      <c r="AH416" s="68" t="n"/>
    </row>
    <row r="417">
      <c r="E417" s="68" t="n"/>
      <c r="F417" s="68" t="n"/>
      <c r="J417" s="68" t="n"/>
      <c r="L417" s="68" t="n"/>
      <c r="M417" s="68" t="n"/>
      <c r="Q417" s="68" t="n"/>
      <c r="R417" s="68" t="n"/>
      <c r="S417" s="68" t="n"/>
      <c r="T417" s="68" t="n"/>
      <c r="U417" s="68" t="n"/>
      <c r="Z417" s="68" t="n"/>
      <c r="AA417" s="68" t="n"/>
      <c r="AG417" s="68" t="n"/>
      <c r="AH417" s="68" t="n"/>
    </row>
    <row r="418">
      <c r="E418" s="68" t="n"/>
      <c r="F418" s="68" t="n"/>
      <c r="J418" s="68" t="n"/>
      <c r="L418" s="68" t="n"/>
      <c r="M418" s="68" t="n"/>
      <c r="Q418" s="68" t="n"/>
      <c r="R418" s="68" t="n"/>
      <c r="S418" s="68" t="n"/>
      <c r="T418" s="68" t="n"/>
      <c r="U418" s="68" t="n"/>
      <c r="Z418" s="68" t="n"/>
      <c r="AA418" s="68" t="n"/>
      <c r="AG418" s="68" t="n"/>
      <c r="AH418" s="68" t="n"/>
    </row>
    <row r="419">
      <c r="E419" s="68" t="n"/>
      <c r="F419" s="68" t="n"/>
      <c r="J419" s="68" t="n"/>
      <c r="L419" s="68" t="n"/>
      <c r="M419" s="68" t="n"/>
      <c r="Q419" s="68" t="n"/>
      <c r="R419" s="68" t="n"/>
      <c r="S419" s="68" t="n"/>
      <c r="T419" s="68" t="n"/>
      <c r="U419" s="68" t="n"/>
      <c r="Z419" s="68" t="n"/>
      <c r="AA419" s="68" t="n"/>
      <c r="AG419" s="68" t="n"/>
      <c r="AH419" s="68" t="n"/>
    </row>
    <row r="420">
      <c r="E420" s="68" t="n"/>
      <c r="F420" s="68" t="n"/>
      <c r="J420" s="68" t="n"/>
      <c r="L420" s="68" t="n"/>
      <c r="M420" s="68" t="n"/>
      <c r="Q420" s="68" t="n"/>
      <c r="R420" s="68" t="n"/>
      <c r="S420" s="68" t="n"/>
      <c r="T420" s="68" t="n"/>
      <c r="U420" s="68" t="n"/>
      <c r="Z420" s="68" t="n"/>
      <c r="AA420" s="68" t="n"/>
      <c r="AG420" s="68" t="n"/>
      <c r="AH420" s="68" t="n"/>
    </row>
    <row r="421">
      <c r="E421" s="68" t="n"/>
      <c r="F421" s="68" t="n"/>
      <c r="J421" s="68" t="n"/>
      <c r="L421" s="68" t="n"/>
      <c r="M421" s="68" t="n"/>
      <c r="Q421" s="68" t="n"/>
      <c r="R421" s="68" t="n"/>
      <c r="S421" s="68" t="n"/>
      <c r="T421" s="68" t="n"/>
      <c r="U421" s="68" t="n"/>
      <c r="Z421" s="68" t="n"/>
      <c r="AA421" s="68" t="n"/>
      <c r="AG421" s="68" t="n"/>
      <c r="AH421" s="68" t="n"/>
    </row>
    <row r="422">
      <c r="E422" s="68" t="n"/>
      <c r="F422" s="68" t="n"/>
      <c r="J422" s="68" t="n"/>
      <c r="L422" s="68" t="n"/>
      <c r="M422" s="68" t="n"/>
      <c r="Q422" s="68" t="n"/>
      <c r="R422" s="68" t="n"/>
      <c r="S422" s="68" t="n"/>
      <c r="T422" s="68" t="n"/>
      <c r="U422" s="68" t="n"/>
      <c r="Z422" s="68" t="n"/>
      <c r="AA422" s="68" t="n"/>
      <c r="AG422" s="68" t="n"/>
      <c r="AH422" s="68" t="n"/>
    </row>
    <row r="423">
      <c r="E423" s="68" t="n"/>
      <c r="F423" s="68" t="n"/>
      <c r="J423" s="68" t="n"/>
      <c r="L423" s="68" t="n"/>
      <c r="M423" s="68" t="n"/>
      <c r="Q423" s="68" t="n"/>
      <c r="R423" s="68" t="n"/>
      <c r="S423" s="68" t="n"/>
      <c r="T423" s="68" t="n"/>
      <c r="U423" s="68" t="n"/>
      <c r="Z423" s="68" t="n"/>
      <c r="AA423" s="68" t="n"/>
      <c r="AG423" s="68" t="n"/>
      <c r="AH423" s="68" t="n"/>
    </row>
    <row r="424">
      <c r="E424" s="68" t="n"/>
      <c r="F424" s="68" t="n"/>
      <c r="J424" s="68" t="n"/>
      <c r="L424" s="68" t="n"/>
      <c r="M424" s="68" t="n"/>
      <c r="Q424" s="68" t="n"/>
      <c r="R424" s="68" t="n"/>
      <c r="S424" s="68" t="n"/>
      <c r="T424" s="68" t="n"/>
      <c r="U424" s="68" t="n"/>
      <c r="Z424" s="68" t="n"/>
      <c r="AA424" s="68" t="n"/>
      <c r="AG424" s="68" t="n"/>
      <c r="AH424" s="68" t="n"/>
    </row>
    <row r="425">
      <c r="E425" s="68" t="n"/>
      <c r="F425" s="68" t="n"/>
      <c r="J425" s="68" t="n"/>
      <c r="L425" s="68" t="n"/>
      <c r="M425" s="68" t="n"/>
      <c r="Q425" s="68" t="n"/>
      <c r="R425" s="68" t="n"/>
      <c r="S425" s="68" t="n"/>
      <c r="T425" s="68" t="n"/>
      <c r="U425" s="68" t="n"/>
      <c r="Z425" s="68" t="n"/>
      <c r="AA425" s="68" t="n"/>
      <c r="AG425" s="68" t="n"/>
      <c r="AH425" s="68" t="n"/>
    </row>
    <row r="426">
      <c r="E426" s="68" t="n"/>
      <c r="F426" s="68" t="n"/>
      <c r="J426" s="68" t="n"/>
      <c r="L426" s="68" t="n"/>
      <c r="M426" s="68" t="n"/>
      <c r="Q426" s="68" t="n"/>
      <c r="R426" s="68" t="n"/>
      <c r="S426" s="68" t="n"/>
      <c r="T426" s="68" t="n"/>
      <c r="U426" s="68" t="n"/>
      <c r="Z426" s="68" t="n"/>
      <c r="AA426" s="68" t="n"/>
      <c r="AG426" s="68" t="n"/>
      <c r="AH426" s="68" t="n"/>
    </row>
    <row r="427">
      <c r="E427" s="68" t="n"/>
      <c r="F427" s="68" t="n"/>
      <c r="J427" s="68" t="n"/>
      <c r="L427" s="68" t="n"/>
      <c r="M427" s="68" t="n"/>
      <c r="Q427" s="68" t="n"/>
      <c r="R427" s="68" t="n"/>
      <c r="S427" s="68" t="n"/>
      <c r="T427" s="68" t="n"/>
      <c r="U427" s="68" t="n"/>
      <c r="Z427" s="68" t="n"/>
      <c r="AA427" s="68" t="n"/>
      <c r="AG427" s="68" t="n"/>
      <c r="AH427" s="68" t="n"/>
    </row>
    <row r="428">
      <c r="E428" s="68" t="n"/>
      <c r="F428" s="68" t="n"/>
      <c r="J428" s="68" t="n"/>
      <c r="L428" s="68" t="n"/>
      <c r="M428" s="68" t="n"/>
      <c r="Q428" s="68" t="n"/>
      <c r="R428" s="68" t="n"/>
      <c r="S428" s="68" t="n"/>
      <c r="T428" s="68" t="n"/>
      <c r="U428" s="68" t="n"/>
      <c r="Z428" s="68" t="n"/>
      <c r="AA428" s="68" t="n"/>
      <c r="AG428" s="68" t="n"/>
      <c r="AH428" s="68" t="n"/>
    </row>
    <row r="429">
      <c r="E429" s="68" t="n"/>
      <c r="F429" s="68" t="n"/>
      <c r="J429" s="68" t="n"/>
      <c r="L429" s="68" t="n"/>
      <c r="M429" s="68" t="n"/>
      <c r="Q429" s="68" t="n"/>
      <c r="R429" s="68" t="n"/>
      <c r="S429" s="68" t="n"/>
      <c r="T429" s="68" t="n"/>
      <c r="U429" s="68" t="n"/>
      <c r="Z429" s="68" t="n"/>
      <c r="AA429" s="68" t="n"/>
      <c r="AG429" s="68" t="n"/>
      <c r="AH429" s="68" t="n"/>
    </row>
    <row r="430">
      <c r="E430" s="68" t="n"/>
      <c r="F430" s="68" t="n"/>
      <c r="J430" s="68" t="n"/>
      <c r="L430" s="68" t="n"/>
      <c r="M430" s="68" t="n"/>
      <c r="Q430" s="68" t="n"/>
      <c r="R430" s="68" t="n"/>
      <c r="S430" s="68" t="n"/>
      <c r="T430" s="68" t="n"/>
      <c r="U430" s="68" t="n"/>
      <c r="Z430" s="68" t="n"/>
      <c r="AA430" s="68" t="n"/>
      <c r="AG430" s="68" t="n"/>
      <c r="AH430" s="68" t="n"/>
    </row>
    <row r="431">
      <c r="E431" s="68" t="n"/>
      <c r="F431" s="68" t="n"/>
      <c r="J431" s="68" t="n"/>
      <c r="L431" s="68" t="n"/>
      <c r="M431" s="68" t="n"/>
      <c r="Q431" s="68" t="n"/>
      <c r="R431" s="68" t="n"/>
      <c r="S431" s="68" t="n"/>
      <c r="T431" s="68" t="n"/>
      <c r="U431" s="68" t="n"/>
      <c r="Z431" s="68" t="n"/>
      <c r="AA431" s="68" t="n"/>
      <c r="AG431" s="68" t="n"/>
      <c r="AH431" s="68" t="n"/>
    </row>
    <row r="432">
      <c r="E432" s="68" t="n"/>
      <c r="F432" s="68" t="n"/>
      <c r="J432" s="68" t="n"/>
      <c r="L432" s="68" t="n"/>
      <c r="M432" s="68" t="n"/>
      <c r="Q432" s="68" t="n"/>
      <c r="R432" s="68" t="n"/>
      <c r="S432" s="68" t="n"/>
      <c r="T432" s="68" t="n"/>
      <c r="U432" s="68" t="n"/>
      <c r="Z432" s="68" t="n"/>
      <c r="AA432" s="68" t="n"/>
      <c r="AG432" s="68" t="n"/>
      <c r="AH432" s="68" t="n"/>
    </row>
    <row r="433">
      <c r="E433" s="68" t="n"/>
      <c r="F433" s="68" t="n"/>
      <c r="J433" s="68" t="n"/>
      <c r="L433" s="68" t="n"/>
      <c r="M433" s="68" t="n"/>
      <c r="Q433" s="68" t="n"/>
      <c r="R433" s="68" t="n"/>
      <c r="S433" s="68" t="n"/>
      <c r="T433" s="68" t="n"/>
      <c r="U433" s="68" t="n"/>
      <c r="Z433" s="68" t="n"/>
      <c r="AA433" s="68" t="n"/>
      <c r="AG433" s="68" t="n"/>
      <c r="AH433" s="68" t="n"/>
    </row>
    <row r="434">
      <c r="E434" s="68" t="n"/>
      <c r="F434" s="68" t="n"/>
      <c r="J434" s="68" t="n"/>
      <c r="L434" s="68" t="n"/>
      <c r="M434" s="68" t="n"/>
      <c r="Q434" s="68" t="n"/>
      <c r="R434" s="68" t="n"/>
      <c r="S434" s="68" t="n"/>
      <c r="T434" s="68" t="n"/>
      <c r="U434" s="68" t="n"/>
      <c r="Z434" s="68" t="n"/>
      <c r="AA434" s="68" t="n"/>
      <c r="AG434" s="68" t="n"/>
      <c r="AH434" s="68" t="n"/>
    </row>
    <row r="435">
      <c r="E435" s="68" t="n"/>
      <c r="F435" s="68" t="n"/>
      <c r="J435" s="68" t="n"/>
      <c r="L435" s="68" t="n"/>
      <c r="M435" s="68" t="n"/>
      <c r="Q435" s="68" t="n"/>
      <c r="R435" s="68" t="n"/>
      <c r="S435" s="68" t="n"/>
      <c r="T435" s="68" t="n"/>
      <c r="U435" s="68" t="n"/>
      <c r="Z435" s="68" t="n"/>
      <c r="AA435" s="68" t="n"/>
      <c r="AG435" s="68" t="n"/>
      <c r="AH435" s="68" t="n"/>
    </row>
    <row r="436">
      <c r="E436" s="68" t="n"/>
      <c r="F436" s="68" t="n"/>
      <c r="J436" s="68" t="n"/>
      <c r="L436" s="68" t="n"/>
      <c r="M436" s="68" t="n"/>
      <c r="Q436" s="68" t="n"/>
      <c r="R436" s="68" t="n"/>
      <c r="S436" s="68" t="n"/>
      <c r="T436" s="68" t="n"/>
      <c r="U436" s="68" t="n"/>
      <c r="Z436" s="68" t="n"/>
      <c r="AA436" s="68" t="n"/>
      <c r="AG436" s="68" t="n"/>
      <c r="AH436" s="68" t="n"/>
    </row>
    <row r="437">
      <c r="E437" s="68" t="n"/>
      <c r="F437" s="68" t="n"/>
      <c r="J437" s="68" t="n"/>
      <c r="L437" s="68" t="n"/>
      <c r="M437" s="68" t="n"/>
      <c r="Q437" s="68" t="n"/>
      <c r="R437" s="68" t="n"/>
      <c r="S437" s="68" t="n"/>
      <c r="T437" s="68" t="n"/>
      <c r="U437" s="68" t="n"/>
      <c r="Z437" s="68" t="n"/>
      <c r="AA437" s="68" t="n"/>
      <c r="AG437" s="68" t="n"/>
      <c r="AH437" s="68" t="n"/>
    </row>
    <row r="438">
      <c r="E438" s="68" t="n"/>
      <c r="F438" s="68" t="n"/>
      <c r="J438" s="68" t="n"/>
      <c r="L438" s="68" t="n"/>
      <c r="M438" s="68" t="n"/>
      <c r="Q438" s="68" t="n"/>
      <c r="R438" s="68" t="n"/>
      <c r="S438" s="68" t="n"/>
      <c r="T438" s="68" t="n"/>
      <c r="U438" s="68" t="n"/>
      <c r="Z438" s="68" t="n"/>
      <c r="AA438" s="68" t="n"/>
      <c r="AG438" s="68" t="n"/>
      <c r="AH438" s="68" t="n"/>
    </row>
    <row r="439">
      <c r="E439" s="68" t="n"/>
      <c r="F439" s="68" t="n"/>
      <c r="J439" s="68" t="n"/>
      <c r="L439" s="68" t="n"/>
      <c r="M439" s="68" t="n"/>
      <c r="Q439" s="68" t="n"/>
      <c r="R439" s="68" t="n"/>
      <c r="S439" s="68" t="n"/>
      <c r="T439" s="68" t="n"/>
      <c r="U439" s="68" t="n"/>
      <c r="Z439" s="68" t="n"/>
      <c r="AA439" s="68" t="n"/>
      <c r="AG439" s="68" t="n"/>
      <c r="AH439" s="68" t="n"/>
    </row>
    <row r="440">
      <c r="E440" s="68" t="n"/>
      <c r="F440" s="68" t="n"/>
      <c r="J440" s="68" t="n"/>
      <c r="L440" s="68" t="n"/>
      <c r="M440" s="68" t="n"/>
      <c r="Q440" s="68" t="n"/>
      <c r="R440" s="68" t="n"/>
      <c r="S440" s="68" t="n"/>
      <c r="T440" s="68" t="n"/>
      <c r="U440" s="68" t="n"/>
      <c r="Z440" s="68" t="n"/>
      <c r="AA440" s="68" t="n"/>
      <c r="AG440" s="68" t="n"/>
      <c r="AH440" s="68" t="n"/>
    </row>
    <row r="441">
      <c r="E441" s="68" t="n"/>
      <c r="F441" s="68" t="n"/>
      <c r="J441" s="68" t="n"/>
      <c r="L441" s="68" t="n"/>
      <c r="M441" s="68" t="n"/>
      <c r="Q441" s="68" t="n"/>
      <c r="R441" s="68" t="n"/>
      <c r="S441" s="68" t="n"/>
      <c r="T441" s="68" t="n"/>
      <c r="U441" s="68" t="n"/>
      <c r="Z441" s="68" t="n"/>
      <c r="AA441" s="68" t="n"/>
      <c r="AG441" s="68" t="n"/>
      <c r="AH441" s="68" t="n"/>
    </row>
    <row r="442">
      <c r="E442" s="68" t="n"/>
      <c r="F442" s="68" t="n"/>
      <c r="J442" s="68" t="n"/>
      <c r="L442" s="68" t="n"/>
      <c r="M442" s="68" t="n"/>
      <c r="Q442" s="68" t="n"/>
      <c r="R442" s="68" t="n"/>
      <c r="S442" s="68" t="n"/>
      <c r="T442" s="68" t="n"/>
      <c r="U442" s="68" t="n"/>
      <c r="Z442" s="68" t="n"/>
      <c r="AA442" s="68" t="n"/>
      <c r="AG442" s="68" t="n"/>
      <c r="AH442" s="68" t="n"/>
    </row>
    <row r="443">
      <c r="E443" s="68" t="n"/>
      <c r="F443" s="68" t="n"/>
      <c r="J443" s="68" t="n"/>
      <c r="L443" s="68" t="n"/>
      <c r="M443" s="68" t="n"/>
      <c r="Q443" s="68" t="n"/>
      <c r="R443" s="68" t="n"/>
      <c r="S443" s="68" t="n"/>
      <c r="T443" s="68" t="n"/>
      <c r="U443" s="68" t="n"/>
      <c r="Z443" s="68" t="n"/>
      <c r="AA443" s="68" t="n"/>
      <c r="AG443" s="68" t="n"/>
      <c r="AH443" s="68" t="n"/>
    </row>
    <row r="444">
      <c r="E444" s="68" t="n"/>
      <c r="F444" s="68" t="n"/>
      <c r="J444" s="68" t="n"/>
      <c r="L444" s="68" t="n"/>
      <c r="M444" s="68" t="n"/>
      <c r="Q444" s="68" t="n"/>
      <c r="R444" s="68" t="n"/>
      <c r="S444" s="68" t="n"/>
      <c r="T444" s="68" t="n"/>
      <c r="U444" s="68" t="n"/>
      <c r="Z444" s="68" t="n"/>
      <c r="AA444" s="68" t="n"/>
      <c r="AG444" s="68" t="n"/>
      <c r="AH444" s="68" t="n"/>
    </row>
    <row r="445">
      <c r="E445" s="68" t="n"/>
      <c r="F445" s="68" t="n"/>
      <c r="J445" s="68" t="n"/>
      <c r="L445" s="68" t="n"/>
      <c r="M445" s="68" t="n"/>
      <c r="Q445" s="68" t="n"/>
      <c r="R445" s="68" t="n"/>
      <c r="S445" s="68" t="n"/>
      <c r="T445" s="68" t="n"/>
      <c r="U445" s="68" t="n"/>
      <c r="Z445" s="68" t="n"/>
      <c r="AA445" s="68" t="n"/>
      <c r="AG445" s="68" t="n"/>
      <c r="AH445" s="68" t="n"/>
    </row>
    <row r="446">
      <c r="E446" s="68" t="n"/>
      <c r="F446" s="68" t="n"/>
      <c r="J446" s="68" t="n"/>
      <c r="L446" s="68" t="n"/>
      <c r="M446" s="68" t="n"/>
      <c r="Q446" s="68" t="n"/>
      <c r="R446" s="68" t="n"/>
      <c r="S446" s="68" t="n"/>
      <c r="T446" s="68" t="n"/>
      <c r="U446" s="68" t="n"/>
      <c r="Z446" s="68" t="n"/>
      <c r="AA446" s="68" t="n"/>
      <c r="AG446" s="68" t="n"/>
      <c r="AH446" s="68" t="n"/>
    </row>
    <row r="447">
      <c r="E447" s="68" t="n"/>
      <c r="F447" s="68" t="n"/>
      <c r="J447" s="68" t="n"/>
      <c r="L447" s="68" t="n"/>
      <c r="M447" s="68" t="n"/>
      <c r="Q447" s="68" t="n"/>
      <c r="R447" s="68" t="n"/>
      <c r="S447" s="68" t="n"/>
      <c r="T447" s="68" t="n"/>
      <c r="U447" s="68" t="n"/>
      <c r="Z447" s="68" t="n"/>
      <c r="AA447" s="68" t="n"/>
      <c r="AG447" s="68" t="n"/>
      <c r="AH447" s="68" t="n"/>
    </row>
    <row r="448">
      <c r="E448" s="68" t="n"/>
      <c r="F448" s="68" t="n"/>
      <c r="J448" s="68" t="n"/>
      <c r="L448" s="68" t="n"/>
      <c r="M448" s="68" t="n"/>
      <c r="Q448" s="68" t="n"/>
      <c r="R448" s="68" t="n"/>
      <c r="S448" s="68" t="n"/>
      <c r="T448" s="68" t="n"/>
      <c r="U448" s="68" t="n"/>
      <c r="Z448" s="68" t="n"/>
      <c r="AA448" s="68" t="n"/>
      <c r="AG448" s="68" t="n"/>
      <c r="AH448" s="68" t="n"/>
    </row>
    <row r="449">
      <c r="E449" s="68" t="n"/>
      <c r="F449" s="68" t="n"/>
      <c r="J449" s="68" t="n"/>
      <c r="L449" s="68" t="n"/>
      <c r="M449" s="68" t="n"/>
      <c r="Q449" s="68" t="n"/>
      <c r="R449" s="68" t="n"/>
      <c r="S449" s="68" t="n"/>
      <c r="T449" s="68" t="n"/>
      <c r="U449" s="68" t="n"/>
      <c r="Z449" s="68" t="n"/>
      <c r="AA449" s="68" t="n"/>
      <c r="AG449" s="68" t="n"/>
      <c r="AH449" s="68" t="n"/>
    </row>
    <row r="450">
      <c r="E450" s="68" t="n"/>
      <c r="F450" s="68" t="n"/>
      <c r="J450" s="68" t="n"/>
      <c r="L450" s="68" t="n"/>
      <c r="M450" s="68" t="n"/>
      <c r="Q450" s="68" t="n"/>
      <c r="R450" s="68" t="n"/>
      <c r="S450" s="68" t="n"/>
      <c r="T450" s="68" t="n"/>
      <c r="U450" s="68" t="n"/>
      <c r="Z450" s="68" t="n"/>
      <c r="AA450" s="68" t="n"/>
      <c r="AG450" s="68" t="n"/>
      <c r="AH450" s="68" t="n"/>
    </row>
    <row r="451">
      <c r="E451" s="68" t="n"/>
      <c r="F451" s="68" t="n"/>
      <c r="J451" s="68" t="n"/>
      <c r="L451" s="68" t="n"/>
      <c r="M451" s="68" t="n"/>
      <c r="Q451" s="68" t="n"/>
      <c r="R451" s="68" t="n"/>
      <c r="S451" s="68" t="n"/>
      <c r="T451" s="68" t="n"/>
      <c r="U451" s="68" t="n"/>
      <c r="Z451" s="68" t="n"/>
      <c r="AA451" s="68" t="n"/>
      <c r="AG451" s="68" t="n"/>
      <c r="AH451" s="68" t="n"/>
    </row>
    <row r="452">
      <c r="E452" s="68" t="n"/>
      <c r="F452" s="68" t="n"/>
      <c r="J452" s="68" t="n"/>
      <c r="L452" s="68" t="n"/>
      <c r="M452" s="68" t="n"/>
      <c r="Q452" s="68" t="n"/>
      <c r="R452" s="68" t="n"/>
      <c r="S452" s="68" t="n"/>
      <c r="T452" s="68" t="n"/>
      <c r="U452" s="68" t="n"/>
      <c r="Z452" s="68" t="n"/>
      <c r="AA452" s="68" t="n"/>
      <c r="AG452" s="68" t="n"/>
      <c r="AH452" s="68" t="n"/>
    </row>
    <row r="453">
      <c r="E453" s="68" t="n"/>
      <c r="F453" s="68" t="n"/>
      <c r="J453" s="68" t="n"/>
      <c r="L453" s="68" t="n"/>
      <c r="M453" s="68" t="n"/>
      <c r="Q453" s="68" t="n"/>
      <c r="R453" s="68" t="n"/>
      <c r="S453" s="68" t="n"/>
      <c r="T453" s="68" t="n"/>
      <c r="U453" s="68" t="n"/>
      <c r="Z453" s="68" t="n"/>
      <c r="AA453" s="68" t="n"/>
      <c r="AG453" s="68" t="n"/>
      <c r="AH453" s="68" t="n"/>
    </row>
    <row r="454">
      <c r="E454" s="68" t="n"/>
      <c r="F454" s="68" t="n"/>
      <c r="J454" s="68" t="n"/>
      <c r="L454" s="68" t="n"/>
      <c r="M454" s="68" t="n"/>
      <c r="Q454" s="68" t="n"/>
      <c r="R454" s="68" t="n"/>
      <c r="S454" s="68" t="n"/>
      <c r="T454" s="68" t="n"/>
      <c r="U454" s="68" t="n"/>
      <c r="Z454" s="68" t="n"/>
      <c r="AA454" s="68" t="n"/>
      <c r="AG454" s="68" t="n"/>
      <c r="AH454" s="68" t="n"/>
    </row>
    <row r="455">
      <c r="E455" s="68" t="n"/>
      <c r="F455" s="68" t="n"/>
      <c r="J455" s="68" t="n"/>
      <c r="L455" s="68" t="n"/>
      <c r="M455" s="68" t="n"/>
      <c r="Q455" s="68" t="n"/>
      <c r="R455" s="68" t="n"/>
      <c r="S455" s="68" t="n"/>
      <c r="T455" s="68" t="n"/>
      <c r="U455" s="68" t="n"/>
      <c r="Z455" s="68" t="n"/>
      <c r="AA455" s="68" t="n"/>
      <c r="AG455" s="68" t="n"/>
      <c r="AH455" s="68" t="n"/>
    </row>
    <row r="456">
      <c r="E456" s="68" t="n"/>
      <c r="F456" s="68" t="n"/>
      <c r="J456" s="68" t="n"/>
      <c r="L456" s="68" t="n"/>
      <c r="M456" s="68" t="n"/>
      <c r="Q456" s="68" t="n"/>
      <c r="R456" s="68" t="n"/>
      <c r="S456" s="68" t="n"/>
      <c r="T456" s="68" t="n"/>
      <c r="U456" s="68" t="n"/>
      <c r="Z456" s="68" t="n"/>
      <c r="AA456" s="68" t="n"/>
      <c r="AG456" s="68" t="n"/>
      <c r="AH456" s="68" t="n"/>
    </row>
    <row r="457">
      <c r="E457" s="68" t="n"/>
      <c r="F457" s="68" t="n"/>
      <c r="J457" s="68" t="n"/>
      <c r="L457" s="68" t="n"/>
      <c r="M457" s="68" t="n"/>
      <c r="Q457" s="68" t="n"/>
      <c r="R457" s="68" t="n"/>
      <c r="S457" s="68" t="n"/>
      <c r="T457" s="68" t="n"/>
      <c r="U457" s="68" t="n"/>
      <c r="Z457" s="68" t="n"/>
      <c r="AA457" s="68" t="n"/>
      <c r="AG457" s="68" t="n"/>
      <c r="AH457" s="68" t="n"/>
    </row>
    <row r="458">
      <c r="E458" s="68" t="n"/>
      <c r="F458" s="68" t="n"/>
      <c r="J458" s="68" t="n"/>
      <c r="L458" s="68" t="n"/>
      <c r="M458" s="68" t="n"/>
      <c r="Q458" s="68" t="n"/>
      <c r="R458" s="68" t="n"/>
      <c r="S458" s="68" t="n"/>
      <c r="T458" s="68" t="n"/>
      <c r="U458" s="68" t="n"/>
      <c r="Z458" s="68" t="n"/>
      <c r="AA458" s="68" t="n"/>
      <c r="AG458" s="68" t="n"/>
      <c r="AH458" s="68" t="n"/>
    </row>
    <row r="459">
      <c r="E459" s="68" t="n"/>
      <c r="F459" s="68" t="n"/>
      <c r="J459" s="68" t="n"/>
      <c r="L459" s="68" t="n"/>
      <c r="M459" s="68" t="n"/>
      <c r="Q459" s="68" t="n"/>
      <c r="R459" s="68" t="n"/>
      <c r="S459" s="68" t="n"/>
      <c r="T459" s="68" t="n"/>
      <c r="U459" s="68" t="n"/>
      <c r="Z459" s="68" t="n"/>
      <c r="AA459" s="68" t="n"/>
      <c r="AG459" s="68" t="n"/>
      <c r="AH459" s="68" t="n"/>
    </row>
    <row r="460">
      <c r="E460" s="68" t="n"/>
      <c r="F460" s="68" t="n"/>
      <c r="J460" s="68" t="n"/>
      <c r="L460" s="68" t="n"/>
      <c r="M460" s="68" t="n"/>
      <c r="Q460" s="68" t="n"/>
      <c r="R460" s="68" t="n"/>
      <c r="S460" s="68" t="n"/>
      <c r="T460" s="68" t="n"/>
      <c r="U460" s="68" t="n"/>
      <c r="Z460" s="68" t="n"/>
      <c r="AA460" s="68" t="n"/>
      <c r="AG460" s="68" t="n"/>
      <c r="AH460" s="68" t="n"/>
    </row>
    <row r="461">
      <c r="E461" s="68" t="n"/>
      <c r="F461" s="68" t="n"/>
      <c r="J461" s="68" t="n"/>
      <c r="L461" s="68" t="n"/>
      <c r="M461" s="68" t="n"/>
      <c r="Q461" s="68" t="n"/>
      <c r="R461" s="68" t="n"/>
      <c r="S461" s="68" t="n"/>
      <c r="T461" s="68" t="n"/>
      <c r="U461" s="68" t="n"/>
      <c r="Z461" s="68" t="n"/>
      <c r="AA461" s="68" t="n"/>
      <c r="AG461" s="68" t="n"/>
      <c r="AH461" s="68" t="n"/>
    </row>
    <row r="462">
      <c r="E462" s="68" t="n"/>
      <c r="F462" s="68" t="n"/>
      <c r="J462" s="68" t="n"/>
      <c r="L462" s="68" t="n"/>
      <c r="M462" s="68" t="n"/>
      <c r="Q462" s="68" t="n"/>
      <c r="R462" s="68" t="n"/>
      <c r="S462" s="68" t="n"/>
      <c r="T462" s="68" t="n"/>
      <c r="U462" s="68" t="n"/>
      <c r="Z462" s="68" t="n"/>
      <c r="AA462" s="68" t="n"/>
      <c r="AG462" s="68" t="n"/>
      <c r="AH462" s="68" t="n"/>
    </row>
    <row r="463">
      <c r="E463" s="68" t="n"/>
      <c r="F463" s="68" t="n"/>
      <c r="J463" s="68" t="n"/>
      <c r="L463" s="68" t="n"/>
      <c r="M463" s="68" t="n"/>
      <c r="Q463" s="68" t="n"/>
      <c r="R463" s="68" t="n"/>
      <c r="S463" s="68" t="n"/>
      <c r="T463" s="68" t="n"/>
      <c r="U463" s="68" t="n"/>
      <c r="Z463" s="68" t="n"/>
      <c r="AA463" s="68" t="n"/>
      <c r="AG463" s="68" t="n"/>
      <c r="AH463" s="68" t="n"/>
    </row>
    <row r="464">
      <c r="E464" s="68" t="n"/>
      <c r="F464" s="68" t="n"/>
      <c r="J464" s="68" t="n"/>
      <c r="L464" s="68" t="n"/>
      <c r="M464" s="68" t="n"/>
      <c r="Q464" s="68" t="n"/>
      <c r="R464" s="68" t="n"/>
      <c r="S464" s="68" t="n"/>
      <c r="T464" s="68" t="n"/>
      <c r="U464" s="68" t="n"/>
      <c r="Z464" s="68" t="n"/>
      <c r="AA464" s="68" t="n"/>
      <c r="AG464" s="68" t="n"/>
      <c r="AH464" s="68" t="n"/>
    </row>
    <row r="465">
      <c r="E465" s="68" t="n"/>
      <c r="F465" s="68" t="n"/>
      <c r="J465" s="68" t="n"/>
      <c r="L465" s="68" t="n"/>
      <c r="M465" s="68" t="n"/>
      <c r="Q465" s="68" t="n"/>
      <c r="R465" s="68" t="n"/>
      <c r="S465" s="68" t="n"/>
      <c r="T465" s="68" t="n"/>
      <c r="U465" s="68" t="n"/>
      <c r="Z465" s="68" t="n"/>
      <c r="AA465" s="68" t="n"/>
      <c r="AG465" s="68" t="n"/>
      <c r="AH465" s="68" t="n"/>
    </row>
    <row r="466">
      <c r="E466" s="68" t="n"/>
      <c r="F466" s="68" t="n"/>
      <c r="J466" s="68" t="n"/>
      <c r="L466" s="68" t="n"/>
      <c r="M466" s="68" t="n"/>
      <c r="Q466" s="68" t="n"/>
      <c r="R466" s="68" t="n"/>
      <c r="S466" s="68" t="n"/>
      <c r="T466" s="68" t="n"/>
      <c r="U466" s="68" t="n"/>
      <c r="Z466" s="68" t="n"/>
      <c r="AA466" s="68" t="n"/>
      <c r="AG466" s="68" t="n"/>
      <c r="AH466" s="68" t="n"/>
    </row>
    <row r="467">
      <c r="E467" s="68" t="n"/>
      <c r="F467" s="68" t="n"/>
      <c r="J467" s="68" t="n"/>
      <c r="L467" s="68" t="n"/>
      <c r="M467" s="68" t="n"/>
      <c r="Q467" s="68" t="n"/>
      <c r="R467" s="68" t="n"/>
      <c r="S467" s="68" t="n"/>
      <c r="T467" s="68" t="n"/>
      <c r="U467" s="68" t="n"/>
      <c r="Z467" s="68" t="n"/>
      <c r="AA467" s="68" t="n"/>
      <c r="AG467" s="68" t="n"/>
      <c r="AH467" s="68" t="n"/>
    </row>
    <row r="468">
      <c r="E468" s="68" t="n"/>
      <c r="F468" s="68" t="n"/>
      <c r="J468" s="68" t="n"/>
      <c r="L468" s="68" t="n"/>
      <c r="M468" s="68" t="n"/>
      <c r="Q468" s="68" t="n"/>
      <c r="R468" s="68" t="n"/>
      <c r="S468" s="68" t="n"/>
      <c r="T468" s="68" t="n"/>
      <c r="U468" s="68" t="n"/>
      <c r="Z468" s="68" t="n"/>
      <c r="AA468" s="68" t="n"/>
      <c r="AG468" s="68" t="n"/>
      <c r="AH468" s="68" t="n"/>
    </row>
    <row r="469">
      <c r="E469" s="68" t="n"/>
      <c r="F469" s="68" t="n"/>
      <c r="J469" s="68" t="n"/>
      <c r="L469" s="68" t="n"/>
      <c r="M469" s="68" t="n"/>
      <c r="Q469" s="68" t="n"/>
      <c r="R469" s="68" t="n"/>
      <c r="S469" s="68" t="n"/>
      <c r="T469" s="68" t="n"/>
      <c r="U469" s="68" t="n"/>
      <c r="Z469" s="68" t="n"/>
      <c r="AA469" s="68" t="n"/>
      <c r="AG469" s="68" t="n"/>
      <c r="AH469" s="68" t="n"/>
    </row>
    <row r="470">
      <c r="E470" s="68" t="n"/>
      <c r="F470" s="68" t="n"/>
      <c r="J470" s="68" t="n"/>
      <c r="L470" s="68" t="n"/>
      <c r="M470" s="68" t="n"/>
      <c r="Q470" s="68" t="n"/>
      <c r="R470" s="68" t="n"/>
      <c r="S470" s="68" t="n"/>
      <c r="T470" s="68" t="n"/>
      <c r="U470" s="68" t="n"/>
      <c r="Z470" s="68" t="n"/>
      <c r="AA470" s="68" t="n"/>
      <c r="AG470" s="68" t="n"/>
      <c r="AH470" s="68" t="n"/>
    </row>
    <row r="471">
      <c r="E471" s="68" t="n"/>
      <c r="F471" s="68" t="n"/>
      <c r="J471" s="68" t="n"/>
      <c r="L471" s="68" t="n"/>
      <c r="M471" s="68" t="n"/>
      <c r="Q471" s="68" t="n"/>
      <c r="R471" s="68" t="n"/>
      <c r="S471" s="68" t="n"/>
      <c r="T471" s="68" t="n"/>
      <c r="U471" s="68" t="n"/>
      <c r="Z471" s="68" t="n"/>
      <c r="AA471" s="68" t="n"/>
      <c r="AG471" s="68" t="n"/>
      <c r="AH471" s="68" t="n"/>
    </row>
    <row r="472">
      <c r="E472" s="68" t="n"/>
      <c r="F472" s="68" t="n"/>
      <c r="J472" s="68" t="n"/>
      <c r="L472" s="68" t="n"/>
      <c r="M472" s="68" t="n"/>
      <c r="Q472" s="68" t="n"/>
      <c r="R472" s="68" t="n"/>
      <c r="S472" s="68" t="n"/>
      <c r="T472" s="68" t="n"/>
      <c r="U472" s="68" t="n"/>
      <c r="Z472" s="68" t="n"/>
      <c r="AA472" s="68" t="n"/>
      <c r="AG472" s="68" t="n"/>
      <c r="AH472" s="68" t="n"/>
    </row>
    <row r="473">
      <c r="E473" s="68" t="n"/>
      <c r="F473" s="68" t="n"/>
      <c r="J473" s="68" t="n"/>
      <c r="L473" s="68" t="n"/>
      <c r="M473" s="68" t="n"/>
      <c r="Q473" s="68" t="n"/>
      <c r="R473" s="68" t="n"/>
      <c r="S473" s="68" t="n"/>
      <c r="T473" s="68" t="n"/>
      <c r="U473" s="68" t="n"/>
      <c r="Z473" s="68" t="n"/>
      <c r="AA473" s="68" t="n"/>
      <c r="AG473" s="68" t="n"/>
      <c r="AH473" s="68" t="n"/>
    </row>
    <row r="474">
      <c r="E474" s="68" t="n"/>
      <c r="F474" s="68" t="n"/>
      <c r="J474" s="68" t="n"/>
      <c r="L474" s="68" t="n"/>
      <c r="M474" s="68" t="n"/>
      <c r="Q474" s="68" t="n"/>
      <c r="R474" s="68" t="n"/>
      <c r="S474" s="68" t="n"/>
      <c r="T474" s="68" t="n"/>
      <c r="U474" s="68" t="n"/>
      <c r="Z474" s="68" t="n"/>
      <c r="AA474" s="68" t="n"/>
      <c r="AG474" s="68" t="n"/>
      <c r="AH474" s="68" t="n"/>
    </row>
    <row r="475">
      <c r="E475" s="68" t="n"/>
      <c r="F475" s="68" t="n"/>
      <c r="J475" s="68" t="n"/>
      <c r="L475" s="68" t="n"/>
      <c r="M475" s="68" t="n"/>
      <c r="Q475" s="68" t="n"/>
      <c r="R475" s="68" t="n"/>
      <c r="S475" s="68" t="n"/>
      <c r="T475" s="68" t="n"/>
      <c r="U475" s="68" t="n"/>
      <c r="Z475" s="68" t="n"/>
      <c r="AA475" s="68" t="n"/>
      <c r="AG475" s="68" t="n"/>
      <c r="AH475" s="68" t="n"/>
    </row>
    <row r="476">
      <c r="E476" s="68" t="n"/>
      <c r="F476" s="68" t="n"/>
      <c r="J476" s="68" t="n"/>
      <c r="L476" s="68" t="n"/>
      <c r="M476" s="68" t="n"/>
      <c r="Q476" s="68" t="n"/>
      <c r="R476" s="68" t="n"/>
      <c r="S476" s="68" t="n"/>
      <c r="T476" s="68" t="n"/>
      <c r="U476" s="68" t="n"/>
      <c r="Z476" s="68" t="n"/>
      <c r="AA476" s="68" t="n"/>
      <c r="AG476" s="68" t="n"/>
      <c r="AH476" s="68" t="n"/>
    </row>
    <row r="477">
      <c r="E477" s="68" t="n"/>
      <c r="F477" s="68" t="n"/>
      <c r="J477" s="68" t="n"/>
      <c r="L477" s="68" t="n"/>
      <c r="M477" s="68" t="n"/>
      <c r="Q477" s="68" t="n"/>
      <c r="R477" s="68" t="n"/>
      <c r="S477" s="68" t="n"/>
      <c r="T477" s="68" t="n"/>
      <c r="U477" s="68" t="n"/>
      <c r="Z477" s="68" t="n"/>
      <c r="AA477" s="68" t="n"/>
      <c r="AG477" s="68" t="n"/>
      <c r="AH477" s="68" t="n"/>
    </row>
    <row r="478">
      <c r="E478" s="68" t="n"/>
      <c r="F478" s="68" t="n"/>
      <c r="J478" s="68" t="n"/>
      <c r="L478" s="68" t="n"/>
      <c r="M478" s="68" t="n"/>
      <c r="Q478" s="68" t="n"/>
      <c r="R478" s="68" t="n"/>
      <c r="S478" s="68" t="n"/>
      <c r="T478" s="68" t="n"/>
      <c r="U478" s="68" t="n"/>
      <c r="Z478" s="68" t="n"/>
      <c r="AA478" s="68" t="n"/>
      <c r="AG478" s="68" t="n"/>
      <c r="AH478" s="68" t="n"/>
    </row>
    <row r="479">
      <c r="E479" s="68" t="n"/>
      <c r="F479" s="68" t="n"/>
      <c r="J479" s="68" t="n"/>
      <c r="L479" s="68" t="n"/>
      <c r="M479" s="68" t="n"/>
      <c r="Q479" s="68" t="n"/>
      <c r="R479" s="68" t="n"/>
      <c r="S479" s="68" t="n"/>
      <c r="T479" s="68" t="n"/>
      <c r="U479" s="68" t="n"/>
      <c r="Z479" s="68" t="n"/>
      <c r="AA479" s="68" t="n"/>
      <c r="AG479" s="68" t="n"/>
      <c r="AH479" s="68" t="n"/>
    </row>
    <row r="480">
      <c r="E480" s="68" t="n"/>
      <c r="F480" s="68" t="n"/>
      <c r="J480" s="68" t="n"/>
      <c r="L480" s="68" t="n"/>
      <c r="M480" s="68" t="n"/>
      <c r="Q480" s="68" t="n"/>
      <c r="R480" s="68" t="n"/>
      <c r="S480" s="68" t="n"/>
      <c r="T480" s="68" t="n"/>
      <c r="U480" s="68" t="n"/>
      <c r="Z480" s="68" t="n"/>
      <c r="AA480" s="68" t="n"/>
      <c r="AG480" s="68" t="n"/>
      <c r="AH480" s="68" t="n"/>
    </row>
    <row r="481">
      <c r="E481" s="68" t="n"/>
      <c r="F481" s="68" t="n"/>
      <c r="J481" s="68" t="n"/>
      <c r="L481" s="68" t="n"/>
      <c r="M481" s="68" t="n"/>
      <c r="Q481" s="68" t="n"/>
      <c r="R481" s="68" t="n"/>
      <c r="S481" s="68" t="n"/>
      <c r="T481" s="68" t="n"/>
      <c r="U481" s="68" t="n"/>
      <c r="Z481" s="68" t="n"/>
      <c r="AA481" s="68" t="n"/>
      <c r="AG481" s="68" t="n"/>
      <c r="AH481" s="68" t="n"/>
    </row>
    <row r="482">
      <c r="E482" s="68" t="n"/>
      <c r="F482" s="68" t="n"/>
      <c r="J482" s="68" t="n"/>
      <c r="L482" s="68" t="n"/>
      <c r="M482" s="68" t="n"/>
      <c r="Q482" s="68" t="n"/>
      <c r="R482" s="68" t="n"/>
      <c r="S482" s="68" t="n"/>
      <c r="T482" s="68" t="n"/>
      <c r="U482" s="68" t="n"/>
      <c r="Z482" s="68" t="n"/>
      <c r="AA482" s="68" t="n"/>
      <c r="AG482" s="68" t="n"/>
      <c r="AH482" s="68" t="n"/>
    </row>
    <row r="483">
      <c r="E483" s="68" t="n"/>
      <c r="F483" s="68" t="n"/>
      <c r="J483" s="68" t="n"/>
      <c r="L483" s="68" t="n"/>
      <c r="M483" s="68" t="n"/>
      <c r="Q483" s="68" t="n"/>
      <c r="R483" s="68" t="n"/>
      <c r="S483" s="68" t="n"/>
      <c r="T483" s="68" t="n"/>
      <c r="U483" s="68" t="n"/>
      <c r="Z483" s="68" t="n"/>
      <c r="AA483" s="68" t="n"/>
      <c r="AG483" s="68" t="n"/>
      <c r="AH483" s="68" t="n"/>
    </row>
    <row r="484">
      <c r="E484" s="68" t="n"/>
      <c r="F484" s="68" t="n"/>
      <c r="J484" s="68" t="n"/>
      <c r="L484" s="68" t="n"/>
      <c r="M484" s="68" t="n"/>
      <c r="Q484" s="68" t="n"/>
      <c r="R484" s="68" t="n"/>
      <c r="S484" s="68" t="n"/>
      <c r="T484" s="68" t="n"/>
      <c r="U484" s="68" t="n"/>
      <c r="Z484" s="68" t="n"/>
      <c r="AA484" s="68" t="n"/>
      <c r="AG484" s="68" t="n"/>
      <c r="AH484" s="68" t="n"/>
    </row>
    <row r="485">
      <c r="E485" s="68" t="n"/>
      <c r="F485" s="68" t="n"/>
      <c r="J485" s="68" t="n"/>
      <c r="L485" s="68" t="n"/>
      <c r="M485" s="68" t="n"/>
      <c r="Q485" s="68" t="n"/>
      <c r="R485" s="68" t="n"/>
      <c r="S485" s="68" t="n"/>
      <c r="T485" s="68" t="n"/>
      <c r="U485" s="68" t="n"/>
      <c r="Z485" s="68" t="n"/>
      <c r="AA485" s="68" t="n"/>
      <c r="AG485" s="68" t="n"/>
      <c r="AH485" s="68" t="n"/>
    </row>
    <row r="486">
      <c r="E486" s="68" t="n"/>
      <c r="F486" s="68" t="n"/>
      <c r="J486" s="68" t="n"/>
      <c r="L486" s="68" t="n"/>
      <c r="M486" s="68" t="n"/>
      <c r="Q486" s="68" t="n"/>
      <c r="R486" s="68" t="n"/>
      <c r="S486" s="68" t="n"/>
      <c r="T486" s="68" t="n"/>
      <c r="U486" s="68" t="n"/>
      <c r="Z486" s="68" t="n"/>
      <c r="AA486" s="68" t="n"/>
      <c r="AG486" s="68" t="n"/>
      <c r="AH486" s="68" t="n"/>
    </row>
    <row r="487">
      <c r="E487" s="68" t="n"/>
      <c r="F487" s="68" t="n"/>
      <c r="J487" s="68" t="n"/>
      <c r="L487" s="68" t="n"/>
      <c r="M487" s="68" t="n"/>
      <c r="Q487" s="68" t="n"/>
      <c r="R487" s="68" t="n"/>
      <c r="S487" s="68" t="n"/>
      <c r="T487" s="68" t="n"/>
      <c r="U487" s="68" t="n"/>
      <c r="Z487" s="68" t="n"/>
      <c r="AA487" s="68" t="n"/>
      <c r="AG487" s="68" t="n"/>
      <c r="AH487" s="68" t="n"/>
    </row>
    <row r="488">
      <c r="E488" s="68" t="n"/>
      <c r="F488" s="68" t="n"/>
      <c r="J488" s="68" t="n"/>
      <c r="L488" s="68" t="n"/>
      <c r="M488" s="68" t="n"/>
      <c r="Q488" s="68" t="n"/>
      <c r="R488" s="68" t="n"/>
      <c r="S488" s="68" t="n"/>
      <c r="T488" s="68" t="n"/>
      <c r="U488" s="68" t="n"/>
      <c r="Z488" s="68" t="n"/>
      <c r="AA488" s="68" t="n"/>
      <c r="AG488" s="68" t="n"/>
      <c r="AH488" s="68" t="n"/>
    </row>
    <row r="489">
      <c r="E489" s="68" t="n"/>
      <c r="F489" s="68" t="n"/>
      <c r="J489" s="68" t="n"/>
      <c r="L489" s="68" t="n"/>
      <c r="M489" s="68" t="n"/>
      <c r="Q489" s="68" t="n"/>
      <c r="R489" s="68" t="n"/>
      <c r="S489" s="68" t="n"/>
      <c r="T489" s="68" t="n"/>
      <c r="U489" s="68" t="n"/>
      <c r="Z489" s="68" t="n"/>
      <c r="AA489" s="68" t="n"/>
      <c r="AG489" s="68" t="n"/>
      <c r="AH489" s="68" t="n"/>
    </row>
    <row r="490">
      <c r="E490" s="68" t="n"/>
      <c r="F490" s="68" t="n"/>
      <c r="J490" s="68" t="n"/>
      <c r="L490" s="68" t="n"/>
      <c r="M490" s="68" t="n"/>
      <c r="Q490" s="68" t="n"/>
      <c r="R490" s="68" t="n"/>
      <c r="S490" s="68" t="n"/>
      <c r="T490" s="68" t="n"/>
      <c r="U490" s="68" t="n"/>
      <c r="Z490" s="68" t="n"/>
      <c r="AA490" s="68" t="n"/>
      <c r="AG490" s="68" t="n"/>
      <c r="AH490" s="68" t="n"/>
    </row>
    <row r="491">
      <c r="E491" s="68" t="n"/>
      <c r="F491" s="68" t="n"/>
      <c r="J491" s="68" t="n"/>
      <c r="L491" s="68" t="n"/>
      <c r="M491" s="68" t="n"/>
      <c r="Q491" s="68" t="n"/>
      <c r="R491" s="68" t="n"/>
      <c r="S491" s="68" t="n"/>
      <c r="T491" s="68" t="n"/>
      <c r="U491" s="68" t="n"/>
      <c r="Z491" s="68" t="n"/>
      <c r="AA491" s="68" t="n"/>
      <c r="AG491" s="68" t="n"/>
      <c r="AH491" s="68" t="n"/>
    </row>
    <row r="492">
      <c r="E492" s="68" t="n"/>
      <c r="F492" s="68" t="n"/>
      <c r="J492" s="68" t="n"/>
      <c r="L492" s="68" t="n"/>
      <c r="M492" s="68" t="n"/>
      <c r="Q492" s="68" t="n"/>
      <c r="R492" s="68" t="n"/>
      <c r="S492" s="68" t="n"/>
      <c r="T492" s="68" t="n"/>
      <c r="U492" s="68" t="n"/>
      <c r="Z492" s="68" t="n"/>
      <c r="AA492" s="68" t="n"/>
      <c r="AG492" s="68" t="n"/>
      <c r="AH492" s="68" t="n"/>
    </row>
    <row r="493">
      <c r="E493" s="68" t="n"/>
      <c r="F493" s="68" t="n"/>
      <c r="J493" s="68" t="n"/>
      <c r="L493" s="68" t="n"/>
      <c r="M493" s="68" t="n"/>
      <c r="Q493" s="68" t="n"/>
      <c r="R493" s="68" t="n"/>
      <c r="S493" s="68" t="n"/>
      <c r="T493" s="68" t="n"/>
      <c r="U493" s="68" t="n"/>
      <c r="Z493" s="68" t="n"/>
      <c r="AA493" s="68" t="n"/>
      <c r="AG493" s="68" t="n"/>
      <c r="AH493" s="68" t="n"/>
    </row>
    <row r="494">
      <c r="E494" s="68" t="n"/>
      <c r="F494" s="68" t="n"/>
      <c r="J494" s="68" t="n"/>
      <c r="L494" s="68" t="n"/>
      <c r="M494" s="68" t="n"/>
      <c r="Q494" s="68" t="n"/>
      <c r="R494" s="68" t="n"/>
      <c r="S494" s="68" t="n"/>
      <c r="T494" s="68" t="n"/>
      <c r="U494" s="68" t="n"/>
      <c r="Z494" s="68" t="n"/>
      <c r="AA494" s="68" t="n"/>
      <c r="AG494" s="68" t="n"/>
      <c r="AH494" s="68" t="n"/>
    </row>
    <row r="495">
      <c r="E495" s="68" t="n"/>
      <c r="F495" s="68" t="n"/>
      <c r="J495" s="68" t="n"/>
      <c r="L495" s="68" t="n"/>
      <c r="M495" s="68" t="n"/>
      <c r="Q495" s="68" t="n"/>
      <c r="R495" s="68" t="n"/>
      <c r="S495" s="68" t="n"/>
      <c r="T495" s="68" t="n"/>
      <c r="U495" s="68" t="n"/>
      <c r="Z495" s="68" t="n"/>
      <c r="AA495" s="68" t="n"/>
      <c r="AG495" s="68" t="n"/>
      <c r="AH495" s="68" t="n"/>
    </row>
    <row r="496">
      <c r="E496" s="68" t="n"/>
      <c r="F496" s="68" t="n"/>
      <c r="J496" s="68" t="n"/>
      <c r="L496" s="68" t="n"/>
      <c r="M496" s="68" t="n"/>
      <c r="Q496" s="68" t="n"/>
      <c r="R496" s="68" t="n"/>
      <c r="S496" s="68" t="n"/>
      <c r="T496" s="68" t="n"/>
      <c r="U496" s="68" t="n"/>
      <c r="Z496" s="68" t="n"/>
      <c r="AA496" s="68" t="n"/>
      <c r="AG496" s="68" t="n"/>
      <c r="AH496" s="68" t="n"/>
    </row>
    <row r="497">
      <c r="E497" s="68" t="n"/>
      <c r="F497" s="68" t="n"/>
      <c r="J497" s="68" t="n"/>
      <c r="L497" s="68" t="n"/>
      <c r="M497" s="68" t="n"/>
      <c r="Q497" s="68" t="n"/>
      <c r="R497" s="68" t="n"/>
      <c r="S497" s="68" t="n"/>
      <c r="T497" s="68" t="n"/>
      <c r="U497" s="68" t="n"/>
      <c r="Z497" s="68" t="n"/>
      <c r="AA497" s="68" t="n"/>
      <c r="AG497" s="68" t="n"/>
      <c r="AH497" s="68" t="n"/>
    </row>
    <row r="498">
      <c r="E498" s="68" t="n"/>
      <c r="F498" s="68" t="n"/>
      <c r="J498" s="68" t="n"/>
      <c r="L498" s="68" t="n"/>
      <c r="M498" s="68" t="n"/>
      <c r="Q498" s="68" t="n"/>
      <c r="R498" s="68" t="n"/>
      <c r="S498" s="68" t="n"/>
      <c r="T498" s="68" t="n"/>
      <c r="U498" s="68" t="n"/>
      <c r="Z498" s="68" t="n"/>
      <c r="AA498" s="68" t="n"/>
      <c r="AG498" s="68" t="n"/>
      <c r="AH498" s="68" t="n"/>
    </row>
    <row r="499">
      <c r="E499" s="68" t="n"/>
      <c r="F499" s="68" t="n"/>
      <c r="J499" s="68" t="n"/>
      <c r="L499" s="68" t="n"/>
      <c r="M499" s="68" t="n"/>
      <c r="Q499" s="68" t="n"/>
      <c r="R499" s="68" t="n"/>
      <c r="S499" s="68" t="n"/>
      <c r="T499" s="68" t="n"/>
      <c r="U499" s="68" t="n"/>
      <c r="Z499" s="68" t="n"/>
      <c r="AA499" s="68" t="n"/>
      <c r="AG499" s="68" t="n"/>
      <c r="AH499" s="68" t="n"/>
    </row>
    <row r="500">
      <c r="E500" s="68" t="n"/>
      <c r="F500" s="68" t="n"/>
      <c r="J500" s="68" t="n"/>
      <c r="L500" s="68" t="n"/>
      <c r="M500" s="68" t="n"/>
      <c r="Q500" s="68" t="n"/>
      <c r="R500" s="68" t="n"/>
      <c r="S500" s="68" t="n"/>
      <c r="T500" s="68" t="n"/>
      <c r="U500" s="68" t="n"/>
      <c r="Z500" s="68" t="n"/>
      <c r="AA500" s="68" t="n"/>
      <c r="AG500" s="68" t="n"/>
      <c r="AH500" s="68" t="n"/>
    </row>
    <row r="501">
      <c r="E501" s="68" t="n"/>
      <c r="F501" s="68" t="n"/>
      <c r="J501" s="68" t="n"/>
      <c r="L501" s="68" t="n"/>
      <c r="M501" s="68" t="n"/>
      <c r="Q501" s="68" t="n"/>
      <c r="R501" s="68" t="n"/>
      <c r="S501" s="68" t="n"/>
      <c r="T501" s="68" t="n"/>
      <c r="U501" s="68" t="n"/>
      <c r="Z501" s="68" t="n"/>
      <c r="AA501" s="68" t="n"/>
      <c r="AG501" s="68" t="n"/>
      <c r="AH501" s="68" t="n"/>
    </row>
    <row r="502">
      <c r="E502" s="68" t="n"/>
      <c r="F502" s="68" t="n"/>
      <c r="J502" s="68" t="n"/>
      <c r="L502" s="68" t="n"/>
      <c r="M502" s="68" t="n"/>
      <c r="Q502" s="68" t="n"/>
      <c r="R502" s="68" t="n"/>
      <c r="S502" s="68" t="n"/>
      <c r="T502" s="68" t="n"/>
      <c r="U502" s="68" t="n"/>
      <c r="Z502" s="68" t="n"/>
      <c r="AA502" s="68" t="n"/>
      <c r="AG502" s="68" t="n"/>
      <c r="AH502" s="68" t="n"/>
    </row>
    <row r="503">
      <c r="E503" s="68" t="n"/>
      <c r="F503" s="68" t="n"/>
      <c r="J503" s="68" t="n"/>
      <c r="L503" s="68" t="n"/>
      <c r="M503" s="68" t="n"/>
      <c r="Q503" s="68" t="n"/>
      <c r="R503" s="68" t="n"/>
      <c r="S503" s="68" t="n"/>
      <c r="T503" s="68" t="n"/>
      <c r="U503" s="68" t="n"/>
      <c r="Z503" s="68" t="n"/>
      <c r="AA503" s="68" t="n"/>
      <c r="AG503" s="68" t="n"/>
      <c r="AH503" s="68" t="n"/>
    </row>
    <row r="504">
      <c r="E504" s="68" t="n"/>
      <c r="F504" s="68" t="n"/>
      <c r="J504" s="68" t="n"/>
      <c r="L504" s="68" t="n"/>
      <c r="M504" s="68" t="n"/>
      <c r="Q504" s="68" t="n"/>
      <c r="R504" s="68" t="n"/>
      <c r="S504" s="68" t="n"/>
      <c r="T504" s="68" t="n"/>
      <c r="U504" s="68" t="n"/>
      <c r="Z504" s="68" t="n"/>
      <c r="AA504" s="68" t="n"/>
      <c r="AG504" s="68" t="n"/>
      <c r="AH504" s="68" t="n"/>
    </row>
    <row r="505">
      <c r="E505" s="68" t="n"/>
      <c r="F505" s="68" t="n"/>
      <c r="J505" s="68" t="n"/>
      <c r="L505" s="68" t="n"/>
      <c r="M505" s="68" t="n"/>
      <c r="Q505" s="68" t="n"/>
      <c r="R505" s="68" t="n"/>
      <c r="S505" s="68" t="n"/>
      <c r="T505" s="68" t="n"/>
      <c r="U505" s="68" t="n"/>
      <c r="Z505" s="68" t="n"/>
      <c r="AA505" s="68" t="n"/>
      <c r="AG505" s="68" t="n"/>
      <c r="AH505" s="68" t="n"/>
    </row>
    <row r="506">
      <c r="E506" s="68" t="n"/>
      <c r="F506" s="68" t="n"/>
      <c r="J506" s="68" t="n"/>
      <c r="L506" s="68" t="n"/>
      <c r="M506" s="68" t="n"/>
      <c r="Q506" s="68" t="n"/>
      <c r="R506" s="68" t="n"/>
      <c r="S506" s="68" t="n"/>
      <c r="T506" s="68" t="n"/>
      <c r="U506" s="68" t="n"/>
      <c r="Z506" s="68" t="n"/>
      <c r="AA506" s="68" t="n"/>
      <c r="AG506" s="68" t="n"/>
      <c r="AH506" s="68" t="n"/>
    </row>
    <row r="507">
      <c r="E507" s="68" t="n"/>
      <c r="F507" s="68" t="n"/>
      <c r="J507" s="68" t="n"/>
      <c r="L507" s="68" t="n"/>
      <c r="M507" s="68" t="n"/>
      <c r="Q507" s="68" t="n"/>
      <c r="R507" s="68" t="n"/>
      <c r="S507" s="68" t="n"/>
      <c r="T507" s="68" t="n"/>
      <c r="U507" s="68" t="n"/>
      <c r="Z507" s="68" t="n"/>
      <c r="AA507" s="68" t="n"/>
      <c r="AG507" s="68" t="n"/>
      <c r="AH507" s="68" t="n"/>
    </row>
    <row r="508">
      <c r="E508" s="68" t="n"/>
      <c r="F508" s="68" t="n"/>
      <c r="J508" s="68" t="n"/>
      <c r="L508" s="68" t="n"/>
      <c r="M508" s="68" t="n"/>
      <c r="Q508" s="68" t="n"/>
      <c r="R508" s="68" t="n"/>
      <c r="S508" s="68" t="n"/>
      <c r="T508" s="68" t="n"/>
      <c r="U508" s="68" t="n"/>
      <c r="Z508" s="68" t="n"/>
      <c r="AA508" s="68" t="n"/>
      <c r="AG508" s="68" t="n"/>
      <c r="AH508" s="68" t="n"/>
    </row>
    <row r="509">
      <c r="E509" s="68" t="n"/>
      <c r="F509" s="68" t="n"/>
      <c r="J509" s="68" t="n"/>
      <c r="L509" s="68" t="n"/>
      <c r="M509" s="68" t="n"/>
      <c r="Q509" s="68" t="n"/>
      <c r="R509" s="68" t="n"/>
      <c r="S509" s="68" t="n"/>
      <c r="T509" s="68" t="n"/>
      <c r="U509" s="68" t="n"/>
      <c r="Z509" s="68" t="n"/>
      <c r="AA509" s="68" t="n"/>
      <c r="AG509" s="68" t="n"/>
      <c r="AH509" s="68" t="n"/>
    </row>
    <row r="510">
      <c r="E510" s="68" t="n"/>
      <c r="F510" s="68" t="n"/>
      <c r="J510" s="68" t="n"/>
      <c r="L510" s="68" t="n"/>
      <c r="M510" s="68" t="n"/>
      <c r="Q510" s="68" t="n"/>
      <c r="R510" s="68" t="n"/>
      <c r="S510" s="68" t="n"/>
      <c r="T510" s="68" t="n"/>
      <c r="U510" s="68" t="n"/>
      <c r="Z510" s="68" t="n"/>
      <c r="AA510" s="68" t="n"/>
      <c r="AG510" s="68" t="n"/>
      <c r="AH510" s="68" t="n"/>
    </row>
    <row r="511">
      <c r="E511" s="68" t="n"/>
      <c r="F511" s="68" t="n"/>
      <c r="J511" s="68" t="n"/>
      <c r="L511" s="68" t="n"/>
      <c r="M511" s="68" t="n"/>
      <c r="Q511" s="68" t="n"/>
      <c r="R511" s="68" t="n"/>
      <c r="S511" s="68" t="n"/>
      <c r="T511" s="68" t="n"/>
      <c r="U511" s="68" t="n"/>
      <c r="Z511" s="68" t="n"/>
      <c r="AA511" s="68" t="n"/>
      <c r="AG511" s="68" t="n"/>
      <c r="AH511" s="68" t="n"/>
    </row>
    <row r="512">
      <c r="E512" s="68" t="n"/>
      <c r="F512" s="68" t="n"/>
      <c r="J512" s="68" t="n"/>
      <c r="L512" s="68" t="n"/>
      <c r="M512" s="68" t="n"/>
      <c r="Q512" s="68" t="n"/>
      <c r="R512" s="68" t="n"/>
      <c r="S512" s="68" t="n"/>
      <c r="T512" s="68" t="n"/>
      <c r="U512" s="68" t="n"/>
      <c r="Z512" s="68" t="n"/>
      <c r="AA512" s="68" t="n"/>
      <c r="AG512" s="68" t="n"/>
      <c r="AH512" s="68" t="n"/>
    </row>
    <row r="513">
      <c r="E513" s="68" t="n"/>
      <c r="F513" s="68" t="n"/>
      <c r="J513" s="68" t="n"/>
      <c r="L513" s="68" t="n"/>
      <c r="M513" s="68" t="n"/>
      <c r="Q513" s="68" t="n"/>
      <c r="R513" s="68" t="n"/>
      <c r="S513" s="68" t="n"/>
      <c r="T513" s="68" t="n"/>
      <c r="U513" s="68" t="n"/>
      <c r="Z513" s="68" t="n"/>
      <c r="AA513" s="68" t="n"/>
      <c r="AG513" s="68" t="n"/>
      <c r="AH513" s="68" t="n"/>
    </row>
    <row r="514">
      <c r="E514" s="68" t="n"/>
      <c r="F514" s="68" t="n"/>
      <c r="J514" s="68" t="n"/>
      <c r="L514" s="68" t="n"/>
      <c r="M514" s="68" t="n"/>
      <c r="Q514" s="68" t="n"/>
      <c r="R514" s="68" t="n"/>
      <c r="S514" s="68" t="n"/>
      <c r="T514" s="68" t="n"/>
      <c r="U514" s="68" t="n"/>
      <c r="Z514" s="68" t="n"/>
      <c r="AA514" s="68" t="n"/>
      <c r="AG514" s="68" t="n"/>
      <c r="AH514" s="68" t="n"/>
    </row>
    <row r="515">
      <c r="E515" s="68" t="n"/>
      <c r="F515" s="68" t="n"/>
      <c r="J515" s="68" t="n"/>
      <c r="L515" s="68" t="n"/>
      <c r="M515" s="68" t="n"/>
      <c r="Q515" s="68" t="n"/>
      <c r="R515" s="68" t="n"/>
      <c r="S515" s="68" t="n"/>
      <c r="T515" s="68" t="n"/>
      <c r="U515" s="68" t="n"/>
      <c r="Z515" s="68" t="n"/>
      <c r="AA515" s="68" t="n"/>
      <c r="AG515" s="68" t="n"/>
      <c r="AH515" s="68" t="n"/>
    </row>
    <row r="516">
      <c r="E516" s="68" t="n"/>
      <c r="F516" s="68" t="n"/>
      <c r="J516" s="68" t="n"/>
      <c r="L516" s="68" t="n"/>
      <c r="M516" s="68" t="n"/>
      <c r="Q516" s="68" t="n"/>
      <c r="R516" s="68" t="n"/>
      <c r="S516" s="68" t="n"/>
      <c r="T516" s="68" t="n"/>
      <c r="U516" s="68" t="n"/>
      <c r="Z516" s="68" t="n"/>
      <c r="AA516" s="68" t="n"/>
      <c r="AG516" s="68" t="n"/>
      <c r="AH516" s="68" t="n"/>
    </row>
    <row r="517">
      <c r="E517" s="68" t="n"/>
      <c r="F517" s="68" t="n"/>
      <c r="J517" s="68" t="n"/>
      <c r="L517" s="68" t="n"/>
      <c r="M517" s="68" t="n"/>
      <c r="Q517" s="68" t="n"/>
      <c r="R517" s="68" t="n"/>
      <c r="S517" s="68" t="n"/>
      <c r="T517" s="68" t="n"/>
      <c r="U517" s="68" t="n"/>
      <c r="Z517" s="68" t="n"/>
      <c r="AA517" s="68" t="n"/>
      <c r="AG517" s="68" t="n"/>
      <c r="AH517" s="68" t="n"/>
    </row>
    <row r="518">
      <c r="E518" s="68" t="n"/>
      <c r="F518" s="68" t="n"/>
      <c r="J518" s="68" t="n"/>
      <c r="L518" s="68" t="n"/>
      <c r="M518" s="68" t="n"/>
      <c r="Q518" s="68" t="n"/>
      <c r="R518" s="68" t="n"/>
      <c r="S518" s="68" t="n"/>
      <c r="T518" s="68" t="n"/>
      <c r="U518" s="68" t="n"/>
      <c r="Z518" s="68" t="n"/>
      <c r="AA518" s="68" t="n"/>
      <c r="AG518" s="68" t="n"/>
      <c r="AH518" s="68" t="n"/>
    </row>
    <row r="519">
      <c r="E519" s="68" t="n"/>
      <c r="F519" s="68" t="n"/>
      <c r="J519" s="68" t="n"/>
      <c r="L519" s="68" t="n"/>
      <c r="M519" s="68" t="n"/>
      <c r="Q519" s="68" t="n"/>
      <c r="R519" s="68" t="n"/>
      <c r="S519" s="68" t="n"/>
      <c r="T519" s="68" t="n"/>
      <c r="U519" s="68" t="n"/>
      <c r="Z519" s="68" t="n"/>
      <c r="AA519" s="68" t="n"/>
      <c r="AG519" s="68" t="n"/>
      <c r="AH519" s="68" t="n"/>
    </row>
    <row r="520">
      <c r="E520" s="68" t="n"/>
      <c r="F520" s="68" t="n"/>
      <c r="J520" s="68" t="n"/>
      <c r="L520" s="68" t="n"/>
      <c r="M520" s="68" t="n"/>
      <c r="Q520" s="68" t="n"/>
      <c r="R520" s="68" t="n"/>
      <c r="S520" s="68" t="n"/>
      <c r="T520" s="68" t="n"/>
      <c r="U520" s="68" t="n"/>
      <c r="Z520" s="68" t="n"/>
      <c r="AA520" s="68" t="n"/>
      <c r="AG520" s="68" t="n"/>
      <c r="AH520" s="68" t="n"/>
    </row>
    <row r="521">
      <c r="E521" s="68" t="n"/>
      <c r="F521" s="68" t="n"/>
      <c r="J521" s="68" t="n"/>
      <c r="L521" s="68" t="n"/>
      <c r="M521" s="68" t="n"/>
      <c r="Q521" s="68" t="n"/>
      <c r="R521" s="68" t="n"/>
      <c r="S521" s="68" t="n"/>
      <c r="T521" s="68" t="n"/>
      <c r="U521" s="68" t="n"/>
      <c r="Z521" s="68" t="n"/>
      <c r="AA521" s="68" t="n"/>
      <c r="AG521" s="68" t="n"/>
      <c r="AH521" s="68" t="n"/>
    </row>
    <row r="522">
      <c r="E522" s="68" t="n"/>
      <c r="F522" s="68" t="n"/>
      <c r="J522" s="68" t="n"/>
      <c r="L522" s="68" t="n"/>
      <c r="M522" s="68" t="n"/>
      <c r="Q522" s="68" t="n"/>
      <c r="R522" s="68" t="n"/>
      <c r="S522" s="68" t="n"/>
      <c r="T522" s="68" t="n"/>
      <c r="U522" s="68" t="n"/>
      <c r="Z522" s="68" t="n"/>
      <c r="AA522" s="68" t="n"/>
      <c r="AG522" s="68" t="n"/>
      <c r="AH522" s="68" t="n"/>
    </row>
    <row r="523">
      <c r="E523" s="68" t="n"/>
      <c r="F523" s="68" t="n"/>
      <c r="J523" s="68" t="n"/>
      <c r="L523" s="68" t="n"/>
      <c r="M523" s="68" t="n"/>
      <c r="Q523" s="68" t="n"/>
      <c r="R523" s="68" t="n"/>
      <c r="S523" s="68" t="n"/>
      <c r="T523" s="68" t="n"/>
      <c r="U523" s="68" t="n"/>
      <c r="Z523" s="68" t="n"/>
      <c r="AA523" s="68" t="n"/>
      <c r="AG523" s="68" t="n"/>
      <c r="AH523" s="68" t="n"/>
    </row>
    <row r="524">
      <c r="E524" s="68" t="n"/>
      <c r="F524" s="68" t="n"/>
      <c r="J524" s="68" t="n"/>
      <c r="L524" s="68" t="n"/>
      <c r="M524" s="68" t="n"/>
      <c r="Q524" s="68" t="n"/>
      <c r="R524" s="68" t="n"/>
      <c r="S524" s="68" t="n"/>
      <c r="T524" s="68" t="n"/>
      <c r="U524" s="68" t="n"/>
      <c r="Z524" s="68" t="n"/>
      <c r="AA524" s="68" t="n"/>
      <c r="AG524" s="68" t="n"/>
      <c r="AH524" s="68" t="n"/>
    </row>
    <row r="525">
      <c r="E525" s="68" t="n"/>
      <c r="F525" s="68" t="n"/>
      <c r="J525" s="68" t="n"/>
      <c r="L525" s="68" t="n"/>
      <c r="M525" s="68" t="n"/>
      <c r="Q525" s="68" t="n"/>
      <c r="R525" s="68" t="n"/>
      <c r="S525" s="68" t="n"/>
      <c r="T525" s="68" t="n"/>
      <c r="U525" s="68" t="n"/>
      <c r="Z525" s="68" t="n"/>
      <c r="AA525" s="68" t="n"/>
      <c r="AG525" s="68" t="n"/>
      <c r="AH525" s="68" t="n"/>
    </row>
    <row r="526">
      <c r="E526" s="68" t="n"/>
      <c r="F526" s="68" t="n"/>
      <c r="J526" s="68" t="n"/>
      <c r="L526" s="68" t="n"/>
      <c r="M526" s="68" t="n"/>
      <c r="Q526" s="68" t="n"/>
      <c r="R526" s="68" t="n"/>
      <c r="S526" s="68" t="n"/>
      <c r="T526" s="68" t="n"/>
      <c r="U526" s="68" t="n"/>
      <c r="Z526" s="68" t="n"/>
      <c r="AA526" s="68" t="n"/>
      <c r="AG526" s="68" t="n"/>
      <c r="AH526" s="68" t="n"/>
    </row>
    <row r="527">
      <c r="E527" s="68" t="n"/>
      <c r="F527" s="68" t="n"/>
      <c r="J527" s="68" t="n"/>
      <c r="L527" s="68" t="n"/>
      <c r="M527" s="68" t="n"/>
      <c r="Q527" s="68" t="n"/>
      <c r="R527" s="68" t="n"/>
      <c r="S527" s="68" t="n"/>
      <c r="T527" s="68" t="n"/>
      <c r="U527" s="68" t="n"/>
      <c r="Z527" s="68" t="n"/>
      <c r="AA527" s="68" t="n"/>
      <c r="AG527" s="68" t="n"/>
      <c r="AH527" s="68" t="n"/>
    </row>
    <row r="528">
      <c r="E528" s="68" t="n"/>
      <c r="F528" s="68" t="n"/>
      <c r="J528" s="68" t="n"/>
      <c r="L528" s="68" t="n"/>
      <c r="M528" s="68" t="n"/>
      <c r="Q528" s="68" t="n"/>
      <c r="R528" s="68" t="n"/>
      <c r="S528" s="68" t="n"/>
      <c r="T528" s="68" t="n"/>
      <c r="U528" s="68" t="n"/>
      <c r="Z528" s="68" t="n"/>
      <c r="AA528" s="68" t="n"/>
      <c r="AG528" s="68" t="n"/>
      <c r="AH528" s="68" t="n"/>
    </row>
    <row r="529">
      <c r="E529" s="68" t="n"/>
      <c r="F529" s="68" t="n"/>
      <c r="J529" s="68" t="n"/>
      <c r="L529" s="68" t="n"/>
      <c r="M529" s="68" t="n"/>
      <c r="Q529" s="68" t="n"/>
      <c r="R529" s="68" t="n"/>
      <c r="S529" s="68" t="n"/>
      <c r="T529" s="68" t="n"/>
      <c r="U529" s="68" t="n"/>
      <c r="Z529" s="68" t="n"/>
      <c r="AA529" s="68" t="n"/>
      <c r="AG529" s="68" t="n"/>
      <c r="AH529" s="68" t="n"/>
    </row>
    <row r="530">
      <c r="E530" s="68" t="n"/>
      <c r="F530" s="68" t="n"/>
      <c r="J530" s="68" t="n"/>
      <c r="L530" s="68" t="n"/>
      <c r="M530" s="68" t="n"/>
      <c r="Q530" s="68" t="n"/>
      <c r="R530" s="68" t="n"/>
      <c r="S530" s="68" t="n"/>
      <c r="T530" s="68" t="n"/>
      <c r="U530" s="68" t="n"/>
      <c r="Z530" s="68" t="n"/>
      <c r="AA530" s="68" t="n"/>
      <c r="AG530" s="68" t="n"/>
      <c r="AH530" s="68" t="n"/>
    </row>
    <row r="531">
      <c r="E531" s="68" t="n"/>
      <c r="F531" s="68" t="n"/>
      <c r="J531" s="68" t="n"/>
      <c r="L531" s="68" t="n"/>
      <c r="M531" s="68" t="n"/>
      <c r="Q531" s="68" t="n"/>
      <c r="R531" s="68" t="n"/>
      <c r="S531" s="68" t="n"/>
      <c r="T531" s="68" t="n"/>
      <c r="U531" s="68" t="n"/>
      <c r="Z531" s="68" t="n"/>
      <c r="AA531" s="68" t="n"/>
      <c r="AG531" s="68" t="n"/>
      <c r="AH531" s="68" t="n"/>
    </row>
    <row r="532">
      <c r="E532" s="68" t="n"/>
      <c r="F532" s="68" t="n"/>
      <c r="J532" s="68" t="n"/>
      <c r="L532" s="68" t="n"/>
      <c r="M532" s="68" t="n"/>
      <c r="Q532" s="68" t="n"/>
      <c r="R532" s="68" t="n"/>
      <c r="S532" s="68" t="n"/>
      <c r="T532" s="68" t="n"/>
      <c r="U532" s="68" t="n"/>
      <c r="Z532" s="68" t="n"/>
      <c r="AA532" s="68" t="n"/>
      <c r="AG532" s="68" t="n"/>
      <c r="AH532" s="68" t="n"/>
    </row>
    <row r="533">
      <c r="E533" s="68" t="n"/>
      <c r="F533" s="68" t="n"/>
      <c r="J533" s="68" t="n"/>
      <c r="L533" s="68" t="n"/>
      <c r="M533" s="68" t="n"/>
      <c r="Q533" s="68" t="n"/>
      <c r="R533" s="68" t="n"/>
      <c r="S533" s="68" t="n"/>
      <c r="T533" s="68" t="n"/>
      <c r="U533" s="68" t="n"/>
      <c r="Z533" s="68" t="n"/>
      <c r="AA533" s="68" t="n"/>
      <c r="AG533" s="68" t="n"/>
      <c r="AH533" s="68" t="n"/>
    </row>
    <row r="534">
      <c r="E534" s="68" t="n"/>
      <c r="F534" s="68" t="n"/>
      <c r="J534" s="68" t="n"/>
      <c r="L534" s="68" t="n"/>
      <c r="M534" s="68" t="n"/>
      <c r="Q534" s="68" t="n"/>
      <c r="R534" s="68" t="n"/>
      <c r="S534" s="68" t="n"/>
      <c r="T534" s="68" t="n"/>
      <c r="U534" s="68" t="n"/>
      <c r="Z534" s="68" t="n"/>
      <c r="AA534" s="68" t="n"/>
      <c r="AG534" s="68" t="n"/>
      <c r="AH534" s="68" t="n"/>
    </row>
    <row r="535">
      <c r="E535" s="68" t="n"/>
      <c r="F535" s="68" t="n"/>
      <c r="J535" s="68" t="n"/>
      <c r="L535" s="68" t="n"/>
      <c r="M535" s="68" t="n"/>
      <c r="Q535" s="68" t="n"/>
      <c r="R535" s="68" t="n"/>
      <c r="S535" s="68" t="n"/>
      <c r="T535" s="68" t="n"/>
      <c r="U535" s="68" t="n"/>
      <c r="Z535" s="68" t="n"/>
      <c r="AA535" s="68" t="n"/>
      <c r="AG535" s="68" t="n"/>
      <c r="AH535" s="68" t="n"/>
    </row>
    <row r="536">
      <c r="E536" s="68" t="n"/>
      <c r="F536" s="68" t="n"/>
      <c r="J536" s="68" t="n"/>
      <c r="L536" s="68" t="n"/>
      <c r="M536" s="68" t="n"/>
      <c r="Q536" s="68" t="n"/>
      <c r="R536" s="68" t="n"/>
      <c r="S536" s="68" t="n"/>
      <c r="T536" s="68" t="n"/>
      <c r="U536" s="68" t="n"/>
      <c r="Z536" s="68" t="n"/>
      <c r="AA536" s="68" t="n"/>
      <c r="AG536" s="68" t="n"/>
      <c r="AH536" s="68" t="n"/>
    </row>
    <row r="537">
      <c r="E537" s="68" t="n"/>
      <c r="F537" s="68" t="n"/>
      <c r="J537" s="68" t="n"/>
      <c r="L537" s="68" t="n"/>
      <c r="M537" s="68" t="n"/>
      <c r="Q537" s="68" t="n"/>
      <c r="R537" s="68" t="n"/>
      <c r="S537" s="68" t="n"/>
      <c r="T537" s="68" t="n"/>
      <c r="U537" s="68" t="n"/>
      <c r="Z537" s="68" t="n"/>
      <c r="AA537" s="68" t="n"/>
      <c r="AG537" s="68" t="n"/>
      <c r="AH537" s="68" t="n"/>
    </row>
    <row r="538">
      <c r="E538" s="68" t="n"/>
      <c r="F538" s="68" t="n"/>
      <c r="J538" s="68" t="n"/>
      <c r="L538" s="68" t="n"/>
      <c r="M538" s="68" t="n"/>
      <c r="Q538" s="68" t="n"/>
      <c r="R538" s="68" t="n"/>
      <c r="S538" s="68" t="n"/>
      <c r="T538" s="68" t="n"/>
      <c r="U538" s="68" t="n"/>
      <c r="Z538" s="68" t="n"/>
      <c r="AA538" s="68" t="n"/>
      <c r="AG538" s="68" t="n"/>
      <c r="AH538" s="68" t="n"/>
    </row>
    <row r="539">
      <c r="E539" s="68" t="n"/>
      <c r="F539" s="68" t="n"/>
      <c r="J539" s="68" t="n"/>
      <c r="L539" s="68" t="n"/>
      <c r="M539" s="68" t="n"/>
      <c r="Q539" s="68" t="n"/>
      <c r="R539" s="68" t="n"/>
      <c r="S539" s="68" t="n"/>
      <c r="T539" s="68" t="n"/>
      <c r="U539" s="68" t="n"/>
      <c r="Z539" s="68" t="n"/>
      <c r="AA539" s="68" t="n"/>
      <c r="AG539" s="68" t="n"/>
      <c r="AH539" s="68" t="n"/>
    </row>
    <row r="540">
      <c r="E540" s="68" t="n"/>
      <c r="F540" s="68" t="n"/>
      <c r="J540" s="68" t="n"/>
      <c r="L540" s="68" t="n"/>
      <c r="M540" s="68" t="n"/>
      <c r="Q540" s="68" t="n"/>
      <c r="R540" s="68" t="n"/>
      <c r="S540" s="68" t="n"/>
      <c r="T540" s="68" t="n"/>
      <c r="U540" s="68" t="n"/>
      <c r="Z540" s="68" t="n"/>
      <c r="AA540" s="68" t="n"/>
      <c r="AG540" s="68" t="n"/>
      <c r="AH540" s="68" t="n"/>
    </row>
    <row r="541">
      <c r="E541" s="68" t="n"/>
      <c r="F541" s="68" t="n"/>
      <c r="J541" s="68" t="n"/>
      <c r="L541" s="68" t="n"/>
      <c r="M541" s="68" t="n"/>
      <c r="Q541" s="68" t="n"/>
      <c r="R541" s="68" t="n"/>
      <c r="S541" s="68" t="n"/>
      <c r="T541" s="68" t="n"/>
      <c r="U541" s="68" t="n"/>
      <c r="Z541" s="68" t="n"/>
      <c r="AA541" s="68" t="n"/>
      <c r="AG541" s="68" t="n"/>
      <c r="AH541" s="68" t="n"/>
    </row>
    <row r="542">
      <c r="E542" s="68" t="n"/>
      <c r="F542" s="68" t="n"/>
      <c r="J542" s="68" t="n"/>
      <c r="L542" s="68" t="n"/>
      <c r="M542" s="68" t="n"/>
      <c r="Q542" s="68" t="n"/>
      <c r="R542" s="68" t="n"/>
      <c r="S542" s="68" t="n"/>
      <c r="T542" s="68" t="n"/>
      <c r="U542" s="68" t="n"/>
      <c r="Z542" s="68" t="n"/>
      <c r="AA542" s="68" t="n"/>
      <c r="AG542" s="68" t="n"/>
      <c r="AH542" s="68" t="n"/>
    </row>
    <row r="543">
      <c r="E543" s="68" t="n"/>
      <c r="F543" s="68" t="n"/>
      <c r="J543" s="68" t="n"/>
      <c r="L543" s="68" t="n"/>
      <c r="M543" s="68" t="n"/>
      <c r="Q543" s="68" t="n"/>
      <c r="R543" s="68" t="n"/>
      <c r="S543" s="68" t="n"/>
      <c r="T543" s="68" t="n"/>
      <c r="U543" s="68" t="n"/>
      <c r="Z543" s="68" t="n"/>
      <c r="AA543" s="68" t="n"/>
      <c r="AG543" s="68" t="n"/>
      <c r="AH543" s="68" t="n"/>
    </row>
    <row r="544">
      <c r="E544" s="68" t="n"/>
      <c r="F544" s="68" t="n"/>
      <c r="J544" s="68" t="n"/>
      <c r="L544" s="68" t="n"/>
      <c r="M544" s="68" t="n"/>
      <c r="Q544" s="68" t="n"/>
      <c r="R544" s="68" t="n"/>
      <c r="S544" s="68" t="n"/>
      <c r="T544" s="68" t="n"/>
      <c r="U544" s="68" t="n"/>
      <c r="Z544" s="68" t="n"/>
      <c r="AA544" s="68" t="n"/>
      <c r="AG544" s="68" t="n"/>
      <c r="AH544" s="68" t="n"/>
    </row>
    <row r="545">
      <c r="E545" s="68" t="n"/>
      <c r="F545" s="68" t="n"/>
      <c r="J545" s="68" t="n"/>
      <c r="L545" s="68" t="n"/>
      <c r="M545" s="68" t="n"/>
      <c r="Q545" s="68" t="n"/>
      <c r="R545" s="68" t="n"/>
      <c r="S545" s="68" t="n"/>
      <c r="T545" s="68" t="n"/>
      <c r="U545" s="68" t="n"/>
      <c r="Z545" s="68" t="n"/>
      <c r="AA545" s="68" t="n"/>
      <c r="AG545" s="68" t="n"/>
      <c r="AH545" s="68" t="n"/>
    </row>
    <row r="546">
      <c r="E546" s="68" t="n"/>
      <c r="F546" s="68" t="n"/>
      <c r="J546" s="68" t="n"/>
      <c r="L546" s="68" t="n"/>
      <c r="M546" s="68" t="n"/>
      <c r="Q546" s="68" t="n"/>
      <c r="R546" s="68" t="n"/>
      <c r="S546" s="68" t="n"/>
      <c r="T546" s="68" t="n"/>
      <c r="U546" s="68" t="n"/>
      <c r="Z546" s="68" t="n"/>
      <c r="AA546" s="68" t="n"/>
      <c r="AG546" s="68" t="n"/>
      <c r="AH546" s="68" t="n"/>
    </row>
    <row r="547">
      <c r="E547" s="68" t="n"/>
      <c r="F547" s="68" t="n"/>
      <c r="J547" s="68" t="n"/>
      <c r="L547" s="68" t="n"/>
      <c r="M547" s="68" t="n"/>
      <c r="Q547" s="68" t="n"/>
      <c r="R547" s="68" t="n"/>
      <c r="S547" s="68" t="n"/>
      <c r="T547" s="68" t="n"/>
      <c r="U547" s="68" t="n"/>
      <c r="Z547" s="68" t="n"/>
      <c r="AA547" s="68" t="n"/>
      <c r="AG547" s="68" t="n"/>
      <c r="AH547" s="68" t="n"/>
    </row>
    <row r="548">
      <c r="E548" s="68" t="n"/>
      <c r="F548" s="68" t="n"/>
      <c r="J548" s="68" t="n"/>
      <c r="L548" s="68" t="n"/>
      <c r="M548" s="68" t="n"/>
      <c r="Q548" s="68" t="n"/>
      <c r="R548" s="68" t="n"/>
      <c r="S548" s="68" t="n"/>
      <c r="T548" s="68" t="n"/>
      <c r="U548" s="68" t="n"/>
      <c r="Z548" s="68" t="n"/>
      <c r="AA548" s="68" t="n"/>
      <c r="AG548" s="68" t="n"/>
      <c r="AH548" s="68" t="n"/>
    </row>
    <row r="549">
      <c r="E549" s="68" t="n"/>
      <c r="F549" s="68" t="n"/>
      <c r="J549" s="68" t="n"/>
      <c r="L549" s="68" t="n"/>
      <c r="M549" s="68" t="n"/>
      <c r="Q549" s="68" t="n"/>
      <c r="R549" s="68" t="n"/>
      <c r="S549" s="68" t="n"/>
      <c r="T549" s="68" t="n"/>
      <c r="U549" s="68" t="n"/>
      <c r="Z549" s="68" t="n"/>
      <c r="AA549" s="68" t="n"/>
      <c r="AG549" s="68" t="n"/>
      <c r="AH549" s="68" t="n"/>
    </row>
    <row r="550">
      <c r="E550" s="68" t="n"/>
      <c r="F550" s="68" t="n"/>
      <c r="J550" s="68" t="n"/>
      <c r="L550" s="68" t="n"/>
      <c r="M550" s="68" t="n"/>
      <c r="Q550" s="68" t="n"/>
      <c r="R550" s="68" t="n"/>
      <c r="S550" s="68" t="n"/>
      <c r="T550" s="68" t="n"/>
      <c r="U550" s="68" t="n"/>
      <c r="Z550" s="68" t="n"/>
      <c r="AA550" s="68" t="n"/>
      <c r="AG550" s="68" t="n"/>
      <c r="AH550" s="68" t="n"/>
    </row>
    <row r="551">
      <c r="E551" s="68" t="n"/>
      <c r="F551" s="68" t="n"/>
      <c r="J551" s="68" t="n"/>
      <c r="L551" s="68" t="n"/>
      <c r="M551" s="68" t="n"/>
      <c r="Q551" s="68" t="n"/>
      <c r="R551" s="68" t="n"/>
      <c r="S551" s="68" t="n"/>
      <c r="T551" s="68" t="n"/>
      <c r="U551" s="68" t="n"/>
      <c r="Z551" s="68" t="n"/>
      <c r="AA551" s="68" t="n"/>
      <c r="AG551" s="68" t="n"/>
      <c r="AH551" s="68" t="n"/>
    </row>
    <row r="552">
      <c r="E552" s="68" t="n"/>
      <c r="F552" s="68" t="n"/>
      <c r="J552" s="68" t="n"/>
      <c r="L552" s="68" t="n"/>
      <c r="M552" s="68" t="n"/>
      <c r="Q552" s="68" t="n"/>
      <c r="R552" s="68" t="n"/>
      <c r="S552" s="68" t="n"/>
      <c r="T552" s="68" t="n"/>
      <c r="U552" s="68" t="n"/>
      <c r="Z552" s="68" t="n"/>
      <c r="AA552" s="68" t="n"/>
      <c r="AG552" s="68" t="n"/>
      <c r="AH552" s="68" t="n"/>
    </row>
    <row r="553">
      <c r="E553" s="68" t="n"/>
      <c r="F553" s="68" t="n"/>
      <c r="J553" s="68" t="n"/>
      <c r="L553" s="68" t="n"/>
      <c r="M553" s="68" t="n"/>
      <c r="Q553" s="68" t="n"/>
      <c r="R553" s="68" t="n"/>
      <c r="S553" s="68" t="n"/>
      <c r="T553" s="68" t="n"/>
      <c r="U553" s="68" t="n"/>
      <c r="Z553" s="68" t="n"/>
      <c r="AA553" s="68" t="n"/>
      <c r="AG553" s="68" t="n"/>
      <c r="AH553" s="68" t="n"/>
    </row>
    <row r="554">
      <c r="E554" s="68" t="n"/>
      <c r="F554" s="68" t="n"/>
      <c r="J554" s="68" t="n"/>
      <c r="L554" s="68" t="n"/>
      <c r="M554" s="68" t="n"/>
      <c r="Q554" s="68" t="n"/>
      <c r="R554" s="68" t="n"/>
      <c r="S554" s="68" t="n"/>
      <c r="T554" s="68" t="n"/>
      <c r="U554" s="68" t="n"/>
      <c r="Z554" s="68" t="n"/>
      <c r="AA554" s="68" t="n"/>
      <c r="AG554" s="68" t="n"/>
      <c r="AH554" s="68" t="n"/>
    </row>
    <row r="555">
      <c r="E555" s="68" t="n"/>
      <c r="F555" s="68" t="n"/>
      <c r="J555" s="68" t="n"/>
      <c r="L555" s="68" t="n"/>
      <c r="M555" s="68" t="n"/>
      <c r="Q555" s="68" t="n"/>
      <c r="R555" s="68" t="n"/>
      <c r="S555" s="68" t="n"/>
      <c r="T555" s="68" t="n"/>
      <c r="U555" s="68" t="n"/>
      <c r="Z555" s="68" t="n"/>
      <c r="AA555" s="68" t="n"/>
      <c r="AG555" s="68" t="n"/>
      <c r="AH555" s="68" t="n"/>
    </row>
    <row r="556">
      <c r="E556" s="68" t="n"/>
      <c r="F556" s="68" t="n"/>
      <c r="J556" s="68" t="n"/>
      <c r="L556" s="68" t="n"/>
      <c r="M556" s="68" t="n"/>
      <c r="Q556" s="68" t="n"/>
      <c r="R556" s="68" t="n"/>
      <c r="S556" s="68" t="n"/>
      <c r="T556" s="68" t="n"/>
      <c r="U556" s="68" t="n"/>
      <c r="Z556" s="68" t="n"/>
      <c r="AA556" s="68" t="n"/>
      <c r="AG556" s="68" t="n"/>
      <c r="AH556" s="68" t="n"/>
    </row>
    <row r="557">
      <c r="E557" s="68" t="n"/>
      <c r="F557" s="68" t="n"/>
      <c r="J557" s="68" t="n"/>
      <c r="L557" s="68" t="n"/>
      <c r="M557" s="68" t="n"/>
      <c r="Q557" s="68" t="n"/>
      <c r="R557" s="68" t="n"/>
      <c r="S557" s="68" t="n"/>
      <c r="T557" s="68" t="n"/>
      <c r="U557" s="68" t="n"/>
      <c r="Z557" s="68" t="n"/>
      <c r="AA557" s="68" t="n"/>
      <c r="AG557" s="68" t="n"/>
      <c r="AH557" s="68" t="n"/>
    </row>
    <row r="558">
      <c r="E558" s="68" t="n"/>
      <c r="F558" s="68" t="n"/>
      <c r="J558" s="68" t="n"/>
      <c r="L558" s="68" t="n"/>
      <c r="M558" s="68" t="n"/>
      <c r="Q558" s="68" t="n"/>
      <c r="R558" s="68" t="n"/>
      <c r="S558" s="68" t="n"/>
      <c r="T558" s="68" t="n"/>
      <c r="U558" s="68" t="n"/>
      <c r="Z558" s="68" t="n"/>
      <c r="AA558" s="68" t="n"/>
      <c r="AG558" s="68" t="n"/>
      <c r="AH558" s="68" t="n"/>
    </row>
    <row r="559">
      <c r="E559" s="68" t="n"/>
      <c r="F559" s="68" t="n"/>
      <c r="J559" s="68" t="n"/>
      <c r="L559" s="68" t="n"/>
      <c r="M559" s="68" t="n"/>
      <c r="Q559" s="68" t="n"/>
      <c r="R559" s="68" t="n"/>
      <c r="S559" s="68" t="n"/>
      <c r="T559" s="68" t="n"/>
      <c r="U559" s="68" t="n"/>
      <c r="Z559" s="68" t="n"/>
      <c r="AA559" s="68" t="n"/>
      <c r="AG559" s="68" t="n"/>
      <c r="AH559" s="68" t="n"/>
    </row>
    <row r="560">
      <c r="E560" s="68" t="n"/>
      <c r="F560" s="68" t="n"/>
      <c r="J560" s="68" t="n"/>
      <c r="L560" s="68" t="n"/>
      <c r="M560" s="68" t="n"/>
      <c r="Q560" s="68" t="n"/>
      <c r="R560" s="68" t="n"/>
      <c r="S560" s="68" t="n"/>
      <c r="T560" s="68" t="n"/>
      <c r="U560" s="68" t="n"/>
      <c r="Z560" s="68" t="n"/>
      <c r="AA560" s="68" t="n"/>
      <c r="AG560" s="68" t="n"/>
      <c r="AH560" s="68" t="n"/>
    </row>
    <row r="561">
      <c r="E561" s="68" t="n"/>
      <c r="F561" s="68" t="n"/>
      <c r="J561" s="68" t="n"/>
      <c r="L561" s="68" t="n"/>
      <c r="M561" s="68" t="n"/>
      <c r="Q561" s="68" t="n"/>
      <c r="R561" s="68" t="n"/>
      <c r="S561" s="68" t="n"/>
      <c r="T561" s="68" t="n"/>
      <c r="U561" s="68" t="n"/>
      <c r="Z561" s="68" t="n"/>
      <c r="AA561" s="68" t="n"/>
      <c r="AG561" s="68" t="n"/>
      <c r="AH561" s="68" t="n"/>
    </row>
    <row r="562">
      <c r="E562" s="68" t="n"/>
      <c r="F562" s="68" t="n"/>
      <c r="J562" s="68" t="n"/>
      <c r="L562" s="68" t="n"/>
      <c r="M562" s="68" t="n"/>
      <c r="Q562" s="68" t="n"/>
      <c r="R562" s="68" t="n"/>
      <c r="S562" s="68" t="n"/>
      <c r="T562" s="68" t="n"/>
      <c r="U562" s="68" t="n"/>
      <c r="Z562" s="68" t="n"/>
      <c r="AA562" s="68" t="n"/>
      <c r="AG562" s="68" t="n"/>
      <c r="AH562" s="68" t="n"/>
    </row>
    <row r="563">
      <c r="E563" s="68" t="n"/>
      <c r="F563" s="68" t="n"/>
      <c r="J563" s="68" t="n"/>
      <c r="L563" s="68" t="n"/>
      <c r="M563" s="68" t="n"/>
      <c r="Q563" s="68" t="n"/>
      <c r="R563" s="68" t="n"/>
      <c r="S563" s="68" t="n"/>
      <c r="T563" s="68" t="n"/>
      <c r="U563" s="68" t="n"/>
      <c r="Z563" s="68" t="n"/>
      <c r="AA563" s="68" t="n"/>
      <c r="AG563" s="68" t="n"/>
      <c r="AH563" s="68" t="n"/>
    </row>
    <row r="564">
      <c r="E564" s="68" t="n"/>
      <c r="F564" s="68" t="n"/>
      <c r="J564" s="68" t="n"/>
      <c r="L564" s="68" t="n"/>
      <c r="M564" s="68" t="n"/>
      <c r="Q564" s="68" t="n"/>
      <c r="R564" s="68" t="n"/>
      <c r="S564" s="68" t="n"/>
      <c r="T564" s="68" t="n"/>
      <c r="U564" s="68" t="n"/>
      <c r="Z564" s="68" t="n"/>
      <c r="AA564" s="68" t="n"/>
      <c r="AG564" s="68" t="n"/>
      <c r="AH564" s="68" t="n"/>
    </row>
    <row r="565">
      <c r="E565" s="68" t="n"/>
      <c r="F565" s="68" t="n"/>
      <c r="J565" s="68" t="n"/>
      <c r="L565" s="68" t="n"/>
      <c r="M565" s="68" t="n"/>
      <c r="Q565" s="68" t="n"/>
      <c r="R565" s="68" t="n"/>
      <c r="S565" s="68" t="n"/>
      <c r="T565" s="68" t="n"/>
      <c r="U565" s="68" t="n"/>
      <c r="Z565" s="68" t="n"/>
      <c r="AA565" s="68" t="n"/>
      <c r="AG565" s="68" t="n"/>
      <c r="AH565" s="68" t="n"/>
    </row>
    <row r="566">
      <c r="E566" s="68" t="n"/>
      <c r="F566" s="68" t="n"/>
      <c r="J566" s="68" t="n"/>
      <c r="L566" s="68" t="n"/>
      <c r="M566" s="68" t="n"/>
      <c r="Q566" s="68" t="n"/>
      <c r="R566" s="68" t="n"/>
      <c r="S566" s="68" t="n"/>
      <c r="T566" s="68" t="n"/>
      <c r="U566" s="68" t="n"/>
      <c r="Z566" s="68" t="n"/>
      <c r="AA566" s="68" t="n"/>
      <c r="AG566" s="68" t="n"/>
      <c r="AH566" s="68" t="n"/>
    </row>
    <row r="567">
      <c r="E567" s="68" t="n"/>
      <c r="F567" s="68" t="n"/>
      <c r="J567" s="68" t="n"/>
      <c r="L567" s="68" t="n"/>
      <c r="M567" s="68" t="n"/>
      <c r="Q567" s="68" t="n"/>
      <c r="R567" s="68" t="n"/>
      <c r="S567" s="68" t="n"/>
      <c r="T567" s="68" t="n"/>
      <c r="U567" s="68" t="n"/>
      <c r="Z567" s="68" t="n"/>
      <c r="AA567" s="68" t="n"/>
      <c r="AG567" s="68" t="n"/>
      <c r="AH567" s="68" t="n"/>
    </row>
    <row r="568">
      <c r="E568" s="68" t="n"/>
      <c r="F568" s="68" t="n"/>
      <c r="J568" s="68" t="n"/>
      <c r="L568" s="68" t="n"/>
      <c r="M568" s="68" t="n"/>
      <c r="Q568" s="68" t="n"/>
      <c r="R568" s="68" t="n"/>
      <c r="S568" s="68" t="n"/>
      <c r="T568" s="68" t="n"/>
      <c r="U568" s="68" t="n"/>
      <c r="Z568" s="68" t="n"/>
      <c r="AA568" s="68" t="n"/>
      <c r="AG568" s="68" t="n"/>
      <c r="AH568" s="68" t="n"/>
    </row>
    <row r="569">
      <c r="E569" s="68" t="n"/>
      <c r="F569" s="68" t="n"/>
      <c r="J569" s="68" t="n"/>
      <c r="L569" s="68" t="n"/>
      <c r="M569" s="68" t="n"/>
      <c r="Q569" s="68" t="n"/>
      <c r="R569" s="68" t="n"/>
      <c r="S569" s="68" t="n"/>
      <c r="T569" s="68" t="n"/>
      <c r="U569" s="68" t="n"/>
      <c r="Z569" s="68" t="n"/>
      <c r="AA569" s="68" t="n"/>
      <c r="AG569" s="68" t="n"/>
      <c r="AH569" s="68" t="n"/>
    </row>
  </sheetData>
  <mergeCells count="17">
    <mergeCell ref="AI236:AJ236"/>
    <mergeCell ref="B8:AK8"/>
    <mergeCell ref="B233:C233"/>
    <mergeCell ref="A3:AK3"/>
    <mergeCell ref="A4:A6"/>
    <mergeCell ref="AC240:AJ240"/>
    <mergeCell ref="K240:V240"/>
    <mergeCell ref="B231:C231"/>
    <mergeCell ref="A2:AK2"/>
    <mergeCell ref="E4:AK5"/>
    <mergeCell ref="AG239:AJ239"/>
    <mergeCell ref="AF238:AJ238"/>
    <mergeCell ref="A1:AK1"/>
    <mergeCell ref="B7:D7"/>
    <mergeCell ref="AE237:AJ237"/>
    <mergeCell ref="B6:D6"/>
    <mergeCell ref="A240:I240"/>
  </mergeCells>
  <printOptions horizontalCentered="1"/>
  <pageMargins left="0.1181102362204725" right="0.1181102362204725" top="0.5511811023622047" bottom="0.3543307086614174" header="0.3149606299212598" footer="0.3149606299212598"/>
  <pageSetup orientation="landscape" paperSize="9" scale="75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K241"/>
  <sheetViews>
    <sheetView topLeftCell="A213" workbookViewId="0">
      <selection activeCell="H248" sqref="H248"/>
    </sheetView>
  </sheetViews>
  <sheetFormatPr baseColWidth="10" defaultColWidth="8.6640625" defaultRowHeight="24"/>
  <cols>
    <col width="48.6640625" customWidth="1" style="334" min="1" max="1"/>
    <col width="7" customWidth="1" style="335" min="2" max="2"/>
    <col width="6.1640625" customWidth="1" style="335" min="3" max="4"/>
    <col width="3.1640625" customWidth="1" style="284" min="5" max="35"/>
    <col width="4.5" customWidth="1" style="284" min="36" max="36"/>
    <col width="8.83203125" customWidth="1" style="284" min="37" max="37"/>
    <col width="8.6640625" customWidth="1" style="284" min="38" max="16384"/>
  </cols>
  <sheetData>
    <row r="1">
      <c r="A1" s="686" t="inlineStr">
        <is>
          <r>
            <t xml:space="preserve">แบบจัดเก็บคะแนนภาระงาน ( Work point )  โรงพยาบาลสมเด็จพระปิ่นเกล้า </t>
          </r>
          <r>
            <rPr>
              <rFont val="TH SarabunPSK"/>
              <family val="2"/>
              <b val="1"/>
              <color rgb="FFFF0000"/>
              <sz val="16"/>
            </rPr>
            <t>(Update  ส.ค. 69)</t>
          </r>
        </is>
      </c>
      <c r="B1" s="772" t="n"/>
      <c r="C1" s="772" t="n"/>
      <c r="D1" s="772" t="n"/>
      <c r="E1" s="772" t="n"/>
      <c r="F1" s="772" t="n"/>
      <c r="G1" s="772" t="n"/>
      <c r="H1" s="772" t="n"/>
      <c r="I1" s="772" t="n"/>
      <c r="J1" s="772" t="n"/>
      <c r="K1" s="772" t="n"/>
      <c r="L1" s="772" t="n"/>
      <c r="M1" s="772" t="n"/>
      <c r="N1" s="772" t="n"/>
      <c r="O1" s="772" t="n"/>
      <c r="P1" s="772" t="n"/>
      <c r="Q1" s="772" t="n"/>
      <c r="R1" s="772" t="n"/>
      <c r="S1" s="772" t="n"/>
      <c r="T1" s="772" t="n"/>
      <c r="U1" s="772" t="n"/>
      <c r="V1" s="772" t="n"/>
      <c r="W1" s="772" t="n"/>
      <c r="X1" s="772" t="n"/>
      <c r="Y1" s="772" t="n"/>
      <c r="Z1" s="772" t="n"/>
      <c r="AA1" s="772" t="n"/>
      <c r="AB1" s="772" t="n"/>
      <c r="AC1" s="772" t="n"/>
      <c r="AD1" s="772" t="n"/>
      <c r="AE1" s="772" t="n"/>
      <c r="AF1" s="772" t="n"/>
      <c r="AG1" s="772" t="n"/>
      <c r="AH1" s="772" t="n"/>
      <c r="AI1" s="772" t="n"/>
      <c r="AJ1" s="772" t="n"/>
      <c r="AK1" s="283" t="n"/>
    </row>
    <row r="2">
      <c r="A2" s="686" t="inlineStr">
        <is>
          <r>
            <t xml:space="preserve">สำหรับผู้ปฏิบัติงาน ... </t>
          </r>
          <r>
            <rPr>
              <rFont val="TH SarabunPSK"/>
              <family val="2"/>
              <b val="1"/>
              <color rgb="FFFF0000"/>
              <sz val="16"/>
            </rPr>
            <t>สัญญาบัตร  ป.ตรี</t>
          </r>
          <r>
            <rPr>
              <rFont val="TH SarabunPSK"/>
              <family val="2"/>
              <b val="1"/>
              <color indexed="8"/>
              <sz val="16"/>
            </rPr>
            <t> </t>
          </r>
          <r>
            <rPr>
              <rFont val="TH SarabunPSK"/>
              <family val="2"/>
              <b val="1"/>
              <color rgb="FFFF0000"/>
              <sz val="16"/>
            </rPr>
            <t>วิชาชีพ</t>
          </r>
          <r>
            <rPr>
              <rFont val="TH SarabunPSK"/>
              <family val="2"/>
              <b val="1"/>
              <color indexed="8"/>
              <sz val="16"/>
            </rPr>
            <t xml:space="preserve">...  ในหน่วยงาน </t>
          </r>
          <r>
            <rPr>
              <rFont val="TH SarabunPSK"/>
              <family val="2"/>
              <b val="1"/>
              <color rgb="FFFF0000"/>
              <sz val="16"/>
            </rPr>
            <t>...............................................</t>
          </r>
          <r>
            <rPr>
              <rFont val="TH SarabunPSK"/>
              <family val="2"/>
              <b val="1"/>
              <sz val="16"/>
            </rPr>
            <t>กลุ่มงาน</t>
          </r>
          <r>
            <rPr>
              <rFont val="TH SarabunPSK"/>
              <family val="2"/>
              <b val="1"/>
              <color rgb="FFFF0000"/>
              <sz val="16"/>
            </rPr>
            <t>..................................................</t>
          </r>
          <r>
            <rPr>
              <rFont val="TH SarabunPSK"/>
              <family val="2"/>
              <b val="1"/>
              <color indexed="8"/>
              <sz val="16"/>
            </rPr>
            <t xml:space="preserve">   แต้มประกัน 1200 แต้ม  คิดเป็น 0.143 แต้ม/นาที</t>
          </r>
        </is>
      </c>
      <c r="B2" s="772" t="n"/>
      <c r="C2" s="772" t="n"/>
      <c r="D2" s="772" t="n"/>
      <c r="E2" s="772" t="n"/>
      <c r="F2" s="772" t="n"/>
      <c r="G2" s="772" t="n"/>
      <c r="H2" s="772" t="n"/>
      <c r="I2" s="772" t="n"/>
      <c r="J2" s="772" t="n"/>
      <c r="K2" s="772" t="n"/>
      <c r="L2" s="772" t="n"/>
      <c r="M2" s="772" t="n"/>
      <c r="N2" s="772" t="n"/>
      <c r="O2" s="772" t="n"/>
      <c r="P2" s="772" t="n"/>
      <c r="Q2" s="772" t="n"/>
      <c r="R2" s="772" t="n"/>
      <c r="S2" s="772" t="n"/>
      <c r="T2" s="772" t="n"/>
      <c r="U2" s="772" t="n"/>
      <c r="V2" s="772" t="n"/>
      <c r="W2" s="772" t="n"/>
      <c r="X2" s="772" t="n"/>
      <c r="Y2" s="772" t="n"/>
      <c r="Z2" s="772" t="n"/>
      <c r="AA2" s="772" t="n"/>
      <c r="AB2" s="772" t="n"/>
      <c r="AC2" s="772" t="n"/>
      <c r="AD2" s="772" t="n"/>
      <c r="AE2" s="772" t="n"/>
      <c r="AF2" s="772" t="n"/>
      <c r="AG2" s="772" t="n"/>
      <c r="AH2" s="772" t="n"/>
      <c r="AI2" s="772" t="n"/>
      <c r="AJ2" s="772" t="n"/>
      <c r="AK2" s="283" t="n"/>
    </row>
    <row r="3">
      <c r="A3" s="687" t="inlineStr">
        <is>
          <r>
            <t xml:space="preserve">ชื่อผู้ปฏิบัติงาน </t>
          </r>
          <r>
            <rPr>
              <rFont val="TH SarabunPSK"/>
              <family val="2"/>
              <b val="1"/>
              <color rgb="FFFF0000"/>
              <sz val="16"/>
            </rPr>
            <t>...............................................................</t>
          </r>
          <r>
            <rPr>
              <rFont val="TH SarabunPSK"/>
              <family val="2"/>
              <b val="1"/>
              <color indexed="8"/>
              <sz val="16"/>
            </rPr>
            <t xml:space="preserve"> ตำแหน่ง </t>
          </r>
          <r>
            <rPr>
              <rFont val="TH SarabunPSK"/>
              <family val="2"/>
              <b val="1"/>
              <color rgb="FFFF0000"/>
              <sz val="16"/>
            </rPr>
            <t>...............................</t>
          </r>
          <r>
            <rPr>
              <rFont val="TH SarabunPSK"/>
              <family val="2"/>
              <b val="1"/>
              <color indexed="8"/>
              <sz val="16"/>
            </rPr>
            <t xml:space="preserve">  เดือน </t>
          </r>
          <r>
            <rPr>
              <rFont val="TH SarabunPSK"/>
              <family val="2"/>
              <b val="1"/>
              <color rgb="FFFF0000"/>
              <sz val="16"/>
            </rPr>
            <t>…...................................</t>
          </r>
          <r>
            <rPr>
              <rFont val="TH SarabunPSK"/>
              <family val="2"/>
              <b val="1"/>
              <color indexed="8"/>
              <sz val="16"/>
            </rPr>
            <t xml:space="preserve">  พ.ศ ............</t>
          </r>
        </is>
      </c>
      <c r="B3" s="773" t="n"/>
      <c r="C3" s="773" t="n"/>
      <c r="D3" s="773" t="n"/>
      <c r="E3" s="773" t="n"/>
      <c r="F3" s="773" t="n"/>
      <c r="G3" s="773" t="n"/>
      <c r="H3" s="773" t="n"/>
      <c r="I3" s="773" t="n"/>
      <c r="J3" s="773" t="n"/>
      <c r="K3" s="773" t="n"/>
      <c r="L3" s="773" t="n"/>
      <c r="M3" s="773" t="n"/>
      <c r="N3" s="773" t="n"/>
      <c r="O3" s="773" t="n"/>
      <c r="P3" s="773" t="n"/>
      <c r="Q3" s="773" t="n"/>
      <c r="R3" s="773" t="n"/>
      <c r="S3" s="773" t="n"/>
      <c r="T3" s="773" t="n"/>
      <c r="U3" s="773" t="n"/>
      <c r="V3" s="773" t="n"/>
      <c r="W3" s="773" t="n"/>
      <c r="X3" s="773" t="n"/>
      <c r="Y3" s="773" t="n"/>
      <c r="Z3" s="773" t="n"/>
      <c r="AA3" s="773" t="n"/>
      <c r="AB3" s="773" t="n"/>
      <c r="AC3" s="773" t="n"/>
      <c r="AD3" s="773" t="n"/>
      <c r="AE3" s="773" t="n"/>
      <c r="AF3" s="773" t="n"/>
      <c r="AG3" s="773" t="n"/>
      <c r="AH3" s="773" t="n"/>
      <c r="AI3" s="773" t="n"/>
      <c r="AJ3" s="773" t="n"/>
      <c r="AK3" s="283" t="n"/>
    </row>
    <row r="4">
      <c r="A4" s="289" t="inlineStr">
        <is>
          <t>ภาระงาน</t>
        </is>
      </c>
      <c r="B4" s="285" t="inlineStr">
        <is>
          <t>หน่วย</t>
        </is>
      </c>
      <c r="C4" s="285" t="inlineStr">
        <is>
          <t>เวลา</t>
        </is>
      </c>
      <c r="D4" s="285" t="inlineStr">
        <is>
          <t>Point</t>
        </is>
      </c>
      <c r="E4" s="690" t="inlineStr">
        <is>
          <t>ปริมาณงาน (รายวัน/รายสัปดาห์/รายเดือน)</t>
        </is>
      </c>
      <c r="F4" s="774" t="n"/>
      <c r="G4" s="774" t="n"/>
      <c r="H4" s="774" t="n"/>
      <c r="I4" s="774" t="n"/>
      <c r="J4" s="774" t="n"/>
      <c r="K4" s="774" t="n"/>
      <c r="L4" s="774" t="n"/>
      <c r="M4" s="774" t="n"/>
      <c r="N4" s="774" t="n"/>
      <c r="O4" s="774" t="n"/>
      <c r="P4" s="774" t="n"/>
      <c r="Q4" s="774" t="n"/>
      <c r="R4" s="774" t="n"/>
      <c r="S4" s="774" t="n"/>
      <c r="T4" s="774" t="n"/>
      <c r="U4" s="774" t="n"/>
      <c r="V4" s="774" t="n"/>
      <c r="W4" s="774" t="n"/>
      <c r="X4" s="774" t="n"/>
      <c r="Y4" s="774" t="n"/>
      <c r="Z4" s="774" t="n"/>
      <c r="AA4" s="774" t="n"/>
      <c r="AB4" s="774" t="n"/>
      <c r="AC4" s="774" t="n"/>
      <c r="AD4" s="774" t="n"/>
      <c r="AE4" s="774" t="n"/>
      <c r="AF4" s="774" t="n"/>
      <c r="AG4" s="774" t="n"/>
      <c r="AH4" s="774" t="n"/>
      <c r="AI4" s="774" t="n"/>
      <c r="AJ4" s="67" t="n"/>
      <c r="AK4" s="29" t="n"/>
    </row>
    <row r="5">
      <c r="A5" s="775" t="n"/>
      <c r="B5" s="286" t="inlineStr">
        <is>
          <t>นับ</t>
        </is>
      </c>
      <c r="C5" s="286" t="inlineStr">
        <is>
          <t>(นาที)</t>
        </is>
      </c>
      <c r="D5" s="286" t="inlineStr">
        <is>
          <t>(แต้ม)</t>
        </is>
      </c>
      <c r="E5" s="287" t="n">
        <v>1</v>
      </c>
      <c r="F5" s="287" t="n">
        <v>2</v>
      </c>
      <c r="G5" s="287" t="n">
        <v>3</v>
      </c>
      <c r="H5" s="287" t="n">
        <v>4</v>
      </c>
      <c r="I5" s="287" t="n">
        <v>5</v>
      </c>
      <c r="J5" s="287" t="n">
        <v>6</v>
      </c>
      <c r="K5" s="287" t="n">
        <v>7</v>
      </c>
      <c r="L5" s="287" t="n">
        <v>8</v>
      </c>
      <c r="M5" s="287" t="n">
        <v>9</v>
      </c>
      <c r="N5" s="287" t="n">
        <v>10</v>
      </c>
      <c r="O5" s="287" t="n">
        <v>11</v>
      </c>
      <c r="P5" s="287" t="n">
        <v>12</v>
      </c>
      <c r="Q5" s="287" t="n">
        <v>13</v>
      </c>
      <c r="R5" s="287" t="n">
        <v>14</v>
      </c>
      <c r="S5" s="287" t="n">
        <v>15</v>
      </c>
      <c r="T5" s="287" t="n">
        <v>16</v>
      </c>
      <c r="U5" s="287" t="n">
        <v>17</v>
      </c>
      <c r="V5" s="287" t="n">
        <v>18</v>
      </c>
      <c r="W5" s="287" t="n">
        <v>19</v>
      </c>
      <c r="X5" s="287" t="n">
        <v>20</v>
      </c>
      <c r="Y5" s="287" t="n">
        <v>21</v>
      </c>
      <c r="Z5" s="287" t="n">
        <v>22</v>
      </c>
      <c r="AA5" s="287" t="n">
        <v>23</v>
      </c>
      <c r="AB5" s="287" t="n">
        <v>24</v>
      </c>
      <c r="AC5" s="287" t="n">
        <v>25</v>
      </c>
      <c r="AD5" s="287" t="n">
        <v>26</v>
      </c>
      <c r="AE5" s="287" t="n">
        <v>27</v>
      </c>
      <c r="AF5" s="287" t="n">
        <v>28</v>
      </c>
      <c r="AG5" s="287" t="n">
        <v>29</v>
      </c>
      <c r="AH5" s="287" t="n">
        <v>30</v>
      </c>
      <c r="AI5" s="287" t="n">
        <v>31</v>
      </c>
      <c r="AJ5" s="288" t="inlineStr">
        <is>
          <t>รวม</t>
        </is>
      </c>
      <c r="AK5" s="288" t="inlineStr">
        <is>
          <t>รวมแต้ม</t>
        </is>
      </c>
    </row>
    <row r="6" ht="25" customHeight="1">
      <c r="A6" s="289" t="inlineStr">
        <is>
          <t>เวร</t>
        </is>
      </c>
      <c r="B6" s="29" t="n"/>
      <c r="C6" s="774" t="n"/>
      <c r="D6" s="76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7" t="n"/>
      <c r="P6" s="287" t="n"/>
      <c r="Q6" s="287" t="n"/>
      <c r="R6" s="287" t="n"/>
      <c r="S6" s="287" t="n"/>
      <c r="T6" s="287" t="n"/>
      <c r="U6" s="287" t="n"/>
      <c r="V6" s="287" t="n"/>
      <c r="W6" s="287" t="n"/>
      <c r="X6" s="287" t="n"/>
      <c r="Y6" s="287" t="n"/>
      <c r="Z6" s="287" t="n"/>
      <c r="AA6" s="287" t="n"/>
      <c r="AB6" s="287" t="n"/>
      <c r="AC6" s="287" t="n"/>
      <c r="AD6" s="287" t="n"/>
      <c r="AE6" s="287" t="n"/>
      <c r="AF6" s="287" t="n"/>
      <c r="AG6" s="287" t="n"/>
      <c r="AH6" s="287" t="n"/>
      <c r="AI6" s="287" t="n"/>
      <c r="AJ6" s="291" t="n"/>
      <c r="AK6" s="292" t="n"/>
    </row>
    <row r="7" ht="25" customHeight="1">
      <c r="A7" s="293" t="inlineStr">
        <is>
          <t>บริหาร</t>
        </is>
      </c>
      <c r="B7" s="776" t="n"/>
      <c r="C7" s="777" t="n"/>
      <c r="D7" s="777" t="n"/>
      <c r="E7" s="777" t="n"/>
      <c r="F7" s="777" t="n"/>
      <c r="G7" s="777" t="n"/>
      <c r="H7" s="777" t="n"/>
      <c r="I7" s="777" t="n"/>
      <c r="J7" s="777" t="n"/>
      <c r="K7" s="777" t="n"/>
      <c r="L7" s="777" t="n"/>
      <c r="M7" s="777" t="n"/>
      <c r="N7" s="777" t="n"/>
      <c r="O7" s="777" t="n"/>
      <c r="P7" s="777" t="n"/>
      <c r="Q7" s="777" t="n"/>
      <c r="R7" s="777" t="n"/>
      <c r="S7" s="777" t="n"/>
      <c r="T7" s="777" t="n"/>
      <c r="U7" s="777" t="n"/>
      <c r="V7" s="777" t="n"/>
      <c r="W7" s="777" t="n"/>
      <c r="X7" s="777" t="n"/>
      <c r="Y7" s="777" t="n"/>
      <c r="Z7" s="777" t="n"/>
      <c r="AA7" s="777" t="n"/>
      <c r="AB7" s="777" t="n"/>
      <c r="AC7" s="777" t="n"/>
      <c r="AD7" s="777" t="n"/>
      <c r="AE7" s="777" t="n"/>
      <c r="AF7" s="777" t="n"/>
      <c r="AG7" s="777" t="n"/>
      <c r="AH7" s="777" t="n"/>
      <c r="AI7" s="777" t="n"/>
      <c r="AJ7" s="777" t="n"/>
      <c r="AK7" s="778" t="n"/>
    </row>
    <row r="8" ht="25" customHeight="1">
      <c r="A8" s="294" t="inlineStr">
        <is>
          <t>การประชุม</t>
        </is>
      </c>
      <c r="B8" s="295" t="n"/>
      <c r="C8" s="296" t="n"/>
      <c r="D8" s="296" t="n"/>
      <c r="E8" s="693" t="n"/>
      <c r="F8" s="693" t="n"/>
      <c r="G8" s="693" t="n"/>
      <c r="H8" s="693" t="n"/>
      <c r="I8" s="693" t="n"/>
      <c r="J8" s="693" t="n"/>
      <c r="K8" s="693" t="n"/>
      <c r="L8" s="693" t="n"/>
      <c r="M8" s="693" t="n"/>
      <c r="N8" s="693" t="n"/>
      <c r="O8" s="693" t="n"/>
      <c r="P8" s="693" t="n"/>
      <c r="Q8" s="693" t="n"/>
      <c r="R8" s="693" t="n"/>
      <c r="S8" s="693" t="n"/>
      <c r="T8" s="693" t="n"/>
      <c r="U8" s="693" t="n"/>
      <c r="V8" s="693" t="n"/>
      <c r="W8" s="693" t="n"/>
      <c r="X8" s="693" t="n"/>
      <c r="Y8" s="693" t="n"/>
      <c r="Z8" s="693" t="n"/>
      <c r="AA8" s="693" t="n"/>
      <c r="AB8" s="693" t="n"/>
      <c r="AC8" s="693" t="n"/>
      <c r="AD8" s="693" t="n"/>
      <c r="AE8" s="693" t="n"/>
      <c r="AF8" s="693" t="n"/>
      <c r="AG8" s="693" t="n"/>
      <c r="AH8" s="693" t="n"/>
      <c r="AI8" s="693" t="n"/>
      <c r="AJ8" s="45" t="n"/>
      <c r="AK8" s="46" t="n"/>
    </row>
    <row r="9" ht="25" customHeight="1">
      <c r="A9" s="11" t="inlineStr">
        <is>
          <t>1. ประชุมหน่วยขึ้นตรงโรงพยาบาลประจำเดือน</t>
        </is>
      </c>
      <c r="B9" s="297" t="inlineStr">
        <is>
          <t>ครั้ง</t>
        </is>
      </c>
      <c r="C9" s="108" t="inlineStr">
        <is>
          <t>เหมา</t>
        </is>
      </c>
      <c r="D9" s="298" t="n">
        <v>30</v>
      </c>
      <c r="E9" s="49" t="n"/>
      <c r="F9" s="49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  <c r="AA9" s="49" t="n"/>
      <c r="AB9" s="49" t="n"/>
      <c r="AC9" s="49" t="n"/>
      <c r="AD9" s="49" t="n"/>
      <c r="AE9" s="49" t="n"/>
      <c r="AF9" s="49" t="n"/>
      <c r="AG9" s="49" t="n"/>
      <c r="AH9" s="49" t="n"/>
      <c r="AI9" s="49" t="n"/>
      <c r="AJ9" s="50">
        <f>SUM(E9:AI9)</f>
        <v/>
      </c>
      <c r="AK9" s="50">
        <f>AJ9*D9</f>
        <v/>
      </c>
    </row>
    <row r="10" ht="25" customHeight="1">
      <c r="A10" s="11" t="inlineStr">
        <is>
          <t>2. ประชุมระดับโรงพยาบาล</t>
        </is>
      </c>
      <c r="B10" s="12" t="inlineStr">
        <is>
          <t>ครั้ง</t>
        </is>
      </c>
      <c r="C10" s="13" t="inlineStr">
        <is>
          <t>เหมา</t>
        </is>
      </c>
      <c r="D10" s="299" t="n">
        <v>30</v>
      </c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  <c r="AA10" s="29" t="n"/>
      <c r="AB10" s="29" t="n"/>
      <c r="AC10" s="29" t="n"/>
      <c r="AD10" s="29" t="n"/>
      <c r="AE10" s="29" t="n"/>
      <c r="AF10" s="29" t="n"/>
      <c r="AG10" s="29" t="n"/>
      <c r="AH10" s="29" t="n"/>
      <c r="AI10" s="29" t="n"/>
      <c r="AJ10" s="5">
        <f>SUM(E10:AI10)</f>
        <v/>
      </c>
      <c r="AK10" s="5">
        <f>AJ10*D10</f>
        <v/>
      </c>
    </row>
    <row r="11" ht="25" customHeight="1">
      <c r="A11" s="16" t="inlineStr">
        <is>
          <t>3. ประชุมระหว่างหน่วยงาน</t>
        </is>
      </c>
      <c r="B11" s="12" t="inlineStr">
        <is>
          <t>ครั้ง</t>
        </is>
      </c>
      <c r="C11" s="13" t="inlineStr">
        <is>
          <t>เหมา</t>
        </is>
      </c>
      <c r="D11" s="299" t="n">
        <v>30</v>
      </c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29" t="n"/>
      <c r="AH11" s="29" t="n"/>
      <c r="AI11" s="29" t="n"/>
      <c r="AJ11" s="5">
        <f>SUM(E11:AI11)</f>
        <v/>
      </c>
      <c r="AK11" s="5">
        <f>AJ11*D11</f>
        <v/>
      </c>
    </row>
    <row r="12" ht="25" customHeight="1">
      <c r="A12" s="16" t="inlineStr">
        <is>
          <t>4. ประชุมภายในหน่วยงาน/กลุ่มงาน</t>
        </is>
      </c>
      <c r="B12" s="12" t="inlineStr">
        <is>
          <t>ครั้ง</t>
        </is>
      </c>
      <c r="C12" s="13" t="inlineStr">
        <is>
          <t>เหมา</t>
        </is>
      </c>
      <c r="D12" s="299" t="n">
        <v>30</v>
      </c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29" t="n"/>
      <c r="AH12" s="29" t="n"/>
      <c r="AI12" s="29" t="n"/>
      <c r="AJ12" s="5">
        <f>SUM(E12:AI12)</f>
        <v/>
      </c>
      <c r="AK12" s="5">
        <f>AJ12*D12</f>
        <v/>
      </c>
    </row>
    <row r="13" ht="25" customHeight="1">
      <c r="A13" s="11" t="inlineStr">
        <is>
          <t>5. ประชุมระดับแผนก/หอผู้ป่วย/ห้องตรวจโรค</t>
        </is>
      </c>
      <c r="B13" s="12" t="inlineStr">
        <is>
          <t>ครั้ง</t>
        </is>
      </c>
      <c r="C13" s="13" t="inlineStr">
        <is>
          <t>เหมา</t>
        </is>
      </c>
      <c r="D13" s="299" t="n">
        <v>30</v>
      </c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  <c r="AA13" s="29" t="n"/>
      <c r="AB13" s="29" t="n"/>
      <c r="AC13" s="29" t="n"/>
      <c r="AD13" s="29" t="n"/>
      <c r="AE13" s="29" t="n"/>
      <c r="AF13" s="29" t="n"/>
      <c r="AG13" s="29" t="n"/>
      <c r="AH13" s="29" t="n"/>
      <c r="AI13" s="29" t="n"/>
      <c r="AJ13" s="5">
        <f>SUM(E13:AI13)</f>
        <v/>
      </c>
      <c r="AK13" s="5">
        <f>AJ13*D13</f>
        <v/>
      </c>
    </row>
    <row r="14" ht="25" customHeight="1">
      <c r="A14" s="11" t="inlineStr">
        <is>
          <t>6. ประชุมแก้ไขปัญหา/ข้อขัดข้องภายในแผนก</t>
        </is>
      </c>
      <c r="B14" s="12" t="inlineStr">
        <is>
          <t>ครั้ง</t>
        </is>
      </c>
      <c r="C14" s="13" t="inlineStr">
        <is>
          <t>เหมา</t>
        </is>
      </c>
      <c r="D14" s="299" t="n">
        <v>8.58</v>
      </c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5">
        <f>SUM(E14:AI14)</f>
        <v/>
      </c>
      <c r="AK14" s="5">
        <f>AJ14*D14</f>
        <v/>
      </c>
    </row>
    <row r="15" ht="50" customHeight="1">
      <c r="A15" s="11" t="inlineStr">
        <is>
          <t>7. ประชุมวิชาการ/กิจกรรมวิชาการระดับโรงพยาบาล
(ผู้เข้าร่วมประชุมมาจากบุคลากรหลายหน่วยในโรงพยาบาล)</t>
        </is>
      </c>
      <c r="B15" s="12" t="inlineStr">
        <is>
          <t>ครั้ง</t>
        </is>
      </c>
      <c r="C15" s="13" t="inlineStr">
        <is>
          <t>เหมา</t>
        </is>
      </c>
      <c r="D15" s="299" t="n">
        <v>30</v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29" t="n"/>
      <c r="AC15" s="29" t="n"/>
      <c r="AD15" s="29" t="n"/>
      <c r="AE15" s="29" t="n"/>
      <c r="AF15" s="29" t="n"/>
      <c r="AG15" s="29" t="n"/>
      <c r="AH15" s="29" t="n"/>
      <c r="AI15" s="29" t="n"/>
      <c r="AJ15" s="5">
        <f>SUM(E15:AI15)</f>
        <v/>
      </c>
      <c r="AK15" s="5">
        <f>AJ15*D15</f>
        <v/>
      </c>
    </row>
    <row r="16" ht="25" customHeight="1">
      <c r="A16" s="16" t="inlineStr">
        <is>
          <t>8. ประชุมวิชาการระหว่างหน่วยงาน/ภายในหน่วยงาน</t>
        </is>
      </c>
      <c r="B16" s="12" t="inlineStr">
        <is>
          <t>ครั้ง</t>
        </is>
      </c>
      <c r="C16" s="13" t="inlineStr">
        <is>
          <t>เหมา</t>
        </is>
      </c>
      <c r="D16" s="299" t="n">
        <v>30</v>
      </c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  <c r="AA16" s="29" t="n"/>
      <c r="AB16" s="29" t="n"/>
      <c r="AC16" s="29" t="n"/>
      <c r="AD16" s="29" t="n"/>
      <c r="AE16" s="29" t="n"/>
      <c r="AF16" s="29" t="n"/>
      <c r="AG16" s="29" t="n"/>
      <c r="AH16" s="29" t="n"/>
      <c r="AI16" s="29" t="n"/>
      <c r="AJ16" s="5">
        <f>SUM(E16:AI16)</f>
        <v/>
      </c>
      <c r="AK16" s="5">
        <f>AJ16*D16</f>
        <v/>
      </c>
    </row>
    <row r="17" ht="25" customHeight="1">
      <c r="A17" s="300" t="inlineStr">
        <is>
          <t>9. ประชุมภายใน รพ. (ประธาน, เลขาฯ)</t>
        </is>
      </c>
      <c r="B17" s="32" t="inlineStr">
        <is>
          <t xml:space="preserve">ครั้ง </t>
        </is>
      </c>
      <c r="C17" s="199" t="inlineStr">
        <is>
          <t>เหมา</t>
        </is>
      </c>
      <c r="D17" s="301" t="n">
        <v>45</v>
      </c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2" t="n"/>
      <c r="AG17" s="32" t="n"/>
      <c r="AH17" s="32" t="n"/>
      <c r="AI17" s="32" t="n"/>
      <c r="AJ17" s="33">
        <f>SUM(E17:AI17)</f>
        <v/>
      </c>
      <c r="AK17" s="33">
        <f>AJ17*D17</f>
        <v/>
      </c>
    </row>
    <row r="18" ht="25" customFormat="1" customHeight="1" s="1">
      <c r="A18" s="302" t="inlineStr">
        <is>
          <t>การจัดทำรายงานการประชุม</t>
        </is>
      </c>
      <c r="B18" s="724" t="n"/>
      <c r="C18" s="22" t="n"/>
      <c r="D18" s="22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4" t="n"/>
      <c r="AK18" s="25" t="n"/>
    </row>
    <row r="19" ht="25" customFormat="1" customHeight="1" s="1">
      <c r="A19" s="26" t="inlineStr">
        <is>
          <t>1. การประชุมระดับ รพ.ฯ</t>
        </is>
      </c>
      <c r="B19" s="27" t="inlineStr">
        <is>
          <t>วัน</t>
        </is>
      </c>
      <c r="C19" s="28" t="inlineStr">
        <is>
          <t>เหมา</t>
        </is>
      </c>
      <c r="D19" s="27" t="n">
        <v>60</v>
      </c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  <c r="AA19" s="29" t="n"/>
      <c r="AB19" s="29" t="n"/>
      <c r="AC19" s="29" t="n"/>
      <c r="AD19" s="29" t="n"/>
      <c r="AE19" s="29" t="n"/>
      <c r="AF19" s="29" t="n"/>
      <c r="AG19" s="29" t="n"/>
      <c r="AH19" s="29" t="n"/>
      <c r="AI19" s="29" t="n"/>
      <c r="AJ19" s="5">
        <f>SUM(E19:AI19)</f>
        <v/>
      </c>
      <c r="AK19" s="5">
        <f>AJ19*D19</f>
        <v/>
      </c>
    </row>
    <row r="20" ht="25" customFormat="1" customHeight="1" s="1">
      <c r="A20" s="26" t="inlineStr">
        <is>
          <t>2. การประชุมระดับกลุ่มงาน/หน่วยงาน</t>
        </is>
      </c>
      <c r="B20" s="27" t="inlineStr">
        <is>
          <t>วัน</t>
        </is>
      </c>
      <c r="C20" s="28" t="inlineStr">
        <is>
          <t>เหมา</t>
        </is>
      </c>
      <c r="D20" s="27" t="n">
        <v>45</v>
      </c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5">
        <f>SUM(E20:AI20)</f>
        <v/>
      </c>
      <c r="AK20" s="5">
        <f>AJ20*D20</f>
        <v/>
      </c>
    </row>
    <row r="21" ht="25" customFormat="1" customHeight="1" s="1">
      <c r="A21" s="26" t="inlineStr">
        <is>
          <t>3. การประชุมย่อยในหน่วยงาน</t>
        </is>
      </c>
      <c r="B21" s="30" t="inlineStr">
        <is>
          <t>วัน</t>
        </is>
      </c>
      <c r="C21" s="31" t="inlineStr">
        <is>
          <t>เหมา</t>
        </is>
      </c>
      <c r="D21" s="30" t="n">
        <v>10</v>
      </c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2" t="n"/>
      <c r="AD21" s="32" t="n"/>
      <c r="AE21" s="32" t="n"/>
      <c r="AF21" s="32" t="n"/>
      <c r="AG21" s="32" t="n"/>
      <c r="AH21" s="32" t="n"/>
      <c r="AI21" s="32" t="n"/>
      <c r="AJ21" s="33">
        <f>SUM(E21:AI21)</f>
        <v/>
      </c>
      <c r="AK21" s="33">
        <f>AJ21*D21</f>
        <v/>
      </c>
    </row>
    <row r="22" ht="25" customHeight="1">
      <c r="A22" s="294" t="inlineStr">
        <is>
          <t>ราชการ</t>
        </is>
      </c>
      <c r="B22" s="724" t="n"/>
      <c r="C22" s="22" t="n"/>
      <c r="D22" s="22" t="n"/>
      <c r="E22" s="303" t="n"/>
      <c r="F22" s="303" t="n"/>
      <c r="G22" s="303" t="n"/>
      <c r="H22" s="303" t="n"/>
      <c r="I22" s="303" t="n"/>
      <c r="J22" s="303" t="n"/>
      <c r="K22" s="303" t="n"/>
      <c r="L22" s="303" t="n"/>
      <c r="M22" s="303" t="n"/>
      <c r="N22" s="303" t="n"/>
      <c r="O22" s="303" t="n"/>
      <c r="P22" s="303" t="n"/>
      <c r="Q22" s="303" t="n"/>
      <c r="R22" s="303" t="n"/>
      <c r="S22" s="303" t="n"/>
      <c r="T22" s="303" t="n"/>
      <c r="U22" s="303" t="n"/>
      <c r="V22" s="303" t="n"/>
      <c r="W22" s="303" t="n"/>
      <c r="X22" s="303" t="n"/>
      <c r="Y22" s="303" t="n"/>
      <c r="Z22" s="303" t="n"/>
      <c r="AA22" s="303" t="n"/>
      <c r="AB22" s="303" t="n"/>
      <c r="AC22" s="303" t="n"/>
      <c r="AD22" s="303" t="n"/>
      <c r="AE22" s="303" t="n"/>
      <c r="AF22" s="303" t="n"/>
      <c r="AG22" s="303" t="n"/>
      <c r="AH22" s="303" t="n"/>
      <c r="AI22" s="303" t="n"/>
      <c r="AJ22" s="304" t="n"/>
      <c r="AK22" s="305" t="n"/>
    </row>
    <row r="23" ht="50" customHeight="1">
      <c r="A23" s="35" t="inlineStr">
        <is>
          <t>ราชการต่าง ๆ เช่น รับเสด็จ รถพยาบาล  กีฬาสี 
งานเกื้อกูลสังคม (ร่วมพิธีสำคัญ)</t>
        </is>
      </c>
      <c r="B23" s="306" t="n"/>
      <c r="C23" s="307" t="n"/>
      <c r="D23" s="307" t="n"/>
      <c r="E23" s="303" t="n"/>
      <c r="F23" s="303" t="n"/>
      <c r="G23" s="303" t="n"/>
      <c r="H23" s="303" t="n"/>
      <c r="I23" s="303" t="n"/>
      <c r="J23" s="303" t="n"/>
      <c r="K23" s="303" t="n"/>
      <c r="L23" s="303" t="n"/>
      <c r="M23" s="303" t="n"/>
      <c r="N23" s="303" t="n"/>
      <c r="O23" s="303" t="n"/>
      <c r="P23" s="303" t="n"/>
      <c r="Q23" s="303" t="n"/>
      <c r="R23" s="303" t="n"/>
      <c r="S23" s="303" t="n"/>
      <c r="T23" s="303" t="n"/>
      <c r="U23" s="303" t="n"/>
      <c r="V23" s="303" t="n"/>
      <c r="W23" s="303" t="n"/>
      <c r="X23" s="303" t="n"/>
      <c r="Y23" s="303" t="n"/>
      <c r="Z23" s="303" t="n"/>
      <c r="AA23" s="303" t="n"/>
      <c r="AB23" s="303" t="n"/>
      <c r="AC23" s="303" t="n"/>
      <c r="AD23" s="303" t="n"/>
      <c r="AE23" s="303" t="n"/>
      <c r="AF23" s="303" t="n"/>
      <c r="AG23" s="303" t="n"/>
      <c r="AH23" s="303" t="n"/>
      <c r="AI23" s="303" t="n"/>
      <c r="AJ23" s="304" t="n"/>
      <c r="AK23" s="305" t="n"/>
    </row>
    <row r="24" ht="25" customHeight="1">
      <c r="A24" s="40" t="inlineStr">
        <is>
          <t>1. ภายใน รพ.</t>
        </is>
      </c>
      <c r="B24" s="41" t="n"/>
      <c r="C24" s="42" t="n"/>
      <c r="D24" s="43" t="n"/>
      <c r="E24" s="693" t="n"/>
      <c r="F24" s="693" t="n"/>
      <c r="G24" s="693" t="n"/>
      <c r="H24" s="693" t="n"/>
      <c r="I24" s="693" t="n"/>
      <c r="J24" s="693" t="n"/>
      <c r="K24" s="693" t="n"/>
      <c r="L24" s="693" t="n"/>
      <c r="M24" s="693" t="n"/>
      <c r="N24" s="693" t="n"/>
      <c r="O24" s="693" t="n"/>
      <c r="P24" s="693" t="n"/>
      <c r="Q24" s="693" t="n"/>
      <c r="R24" s="693" t="n"/>
      <c r="S24" s="693" t="n"/>
      <c r="T24" s="693" t="n"/>
      <c r="U24" s="693" t="n"/>
      <c r="V24" s="693" t="n"/>
      <c r="W24" s="693" t="n"/>
      <c r="X24" s="693" t="n"/>
      <c r="Y24" s="693" t="n"/>
      <c r="Z24" s="693" t="n"/>
      <c r="AA24" s="693" t="n"/>
      <c r="AB24" s="693" t="n"/>
      <c r="AC24" s="693" t="n"/>
      <c r="AD24" s="693" t="n"/>
      <c r="AE24" s="693" t="n"/>
      <c r="AF24" s="693" t="n"/>
      <c r="AG24" s="693" t="n"/>
      <c r="AH24" s="693" t="n"/>
      <c r="AI24" s="693" t="n"/>
      <c r="AJ24" s="45" t="n"/>
      <c r="AK24" s="46" t="n"/>
    </row>
    <row r="25" ht="25" customHeight="1">
      <c r="A25" s="26" t="inlineStr">
        <is>
          <t xml:space="preserve">   -  หัวหน้าผู้รับผิดชอบราชการ</t>
        </is>
      </c>
      <c r="B25" s="47" t="inlineStr">
        <is>
          <t>วัน</t>
        </is>
      </c>
      <c r="C25" s="48" t="inlineStr">
        <is>
          <t>เหมา</t>
        </is>
      </c>
      <c r="D25" s="308" t="n">
        <v>60</v>
      </c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  <c r="AA25" s="49" t="n"/>
      <c r="AB25" s="49" t="n"/>
      <c r="AC25" s="49" t="n"/>
      <c r="AD25" s="49" t="n"/>
      <c r="AE25" s="49" t="n"/>
      <c r="AF25" s="49" t="n"/>
      <c r="AG25" s="49" t="n"/>
      <c r="AH25" s="49" t="n"/>
      <c r="AI25" s="49" t="n"/>
      <c r="AJ25" s="50">
        <f>SUM(E25:AI25)</f>
        <v/>
      </c>
      <c r="AK25" s="50">
        <f>AJ25*D25</f>
        <v/>
      </c>
    </row>
    <row r="26" ht="25" customHeight="1">
      <c r="A26" s="26" t="inlineStr">
        <is>
          <t xml:space="preserve">   -  ผู้ดำเนินกิจกรรม, นักกีฬา</t>
        </is>
      </c>
      <c r="B26" s="30" t="inlineStr">
        <is>
          <t>วัน</t>
        </is>
      </c>
      <c r="C26" s="31" t="inlineStr">
        <is>
          <t>เหมา</t>
        </is>
      </c>
      <c r="D26" s="309" t="n">
        <v>60</v>
      </c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5">
        <f>SUM(E26:AI26)</f>
        <v/>
      </c>
      <c r="AK26" s="5">
        <f>AJ26*D26</f>
        <v/>
      </c>
    </row>
    <row r="27" ht="25" customHeight="1">
      <c r="A27" s="26" t="inlineStr">
        <is>
          <t xml:space="preserve">   -  ผู้ร่วมงาน</t>
        </is>
      </c>
      <c r="B27" s="30" t="inlineStr">
        <is>
          <t>วัน</t>
        </is>
      </c>
      <c r="C27" s="31" t="inlineStr">
        <is>
          <t>เหมา</t>
        </is>
      </c>
      <c r="D27" s="309" t="n">
        <v>30</v>
      </c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  <c r="AD27" s="32" t="n"/>
      <c r="AE27" s="32" t="n"/>
      <c r="AF27" s="32" t="n"/>
      <c r="AG27" s="32" t="n"/>
      <c r="AH27" s="32" t="n"/>
      <c r="AI27" s="32" t="n"/>
      <c r="AJ27" s="33">
        <f>SUM(E27:AI27)</f>
        <v/>
      </c>
      <c r="AK27" s="33">
        <f>AJ27*D27</f>
        <v/>
      </c>
    </row>
    <row r="28" ht="25" customHeight="1">
      <c r="A28" s="40" t="inlineStr">
        <is>
          <t>2. นอก รพ.</t>
        </is>
      </c>
      <c r="B28" s="51" t="n"/>
      <c r="C28" s="52" t="n"/>
      <c r="D28" s="52" t="n"/>
      <c r="E28" s="693" t="n"/>
      <c r="F28" s="693" t="n"/>
      <c r="G28" s="693" t="n"/>
      <c r="H28" s="693" t="n"/>
      <c r="I28" s="693" t="n"/>
      <c r="J28" s="693" t="n"/>
      <c r="K28" s="693" t="n"/>
      <c r="L28" s="693" t="n"/>
      <c r="M28" s="693" t="n"/>
      <c r="N28" s="693" t="n"/>
      <c r="O28" s="693" t="n"/>
      <c r="P28" s="693" t="n"/>
      <c r="Q28" s="693" t="n"/>
      <c r="R28" s="693" t="n"/>
      <c r="S28" s="693" t="n"/>
      <c r="T28" s="693" t="n"/>
      <c r="U28" s="693" t="n"/>
      <c r="V28" s="693" t="n"/>
      <c r="W28" s="693" t="n"/>
      <c r="X28" s="693" t="n"/>
      <c r="Y28" s="693" t="n"/>
      <c r="Z28" s="693" t="n"/>
      <c r="AA28" s="693" t="n"/>
      <c r="AB28" s="693" t="n"/>
      <c r="AC28" s="693" t="n"/>
      <c r="AD28" s="693" t="n"/>
      <c r="AE28" s="693" t="n"/>
      <c r="AF28" s="693" t="n"/>
      <c r="AG28" s="693" t="n"/>
      <c r="AH28" s="693" t="n"/>
      <c r="AI28" s="693" t="n"/>
      <c r="AJ28" s="45" t="n"/>
      <c r="AK28" s="46" t="n"/>
    </row>
    <row r="29" ht="25" customHeight="1">
      <c r="A29" s="26" t="inlineStr">
        <is>
          <t xml:space="preserve">   -  หัวหน้าผู้รับผิดชอบราชการ</t>
        </is>
      </c>
      <c r="B29" s="47" t="inlineStr">
        <is>
          <t>วัน</t>
        </is>
      </c>
      <c r="C29" s="48" t="inlineStr">
        <is>
          <t>เหมา</t>
        </is>
      </c>
      <c r="D29" s="308" t="n">
        <v>60</v>
      </c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  <c r="AA29" s="49" t="n"/>
      <c r="AB29" s="49" t="n"/>
      <c r="AC29" s="49" t="n"/>
      <c r="AD29" s="49" t="n"/>
      <c r="AE29" s="49" t="n"/>
      <c r="AF29" s="49" t="n"/>
      <c r="AG29" s="49" t="n"/>
      <c r="AH29" s="49" t="n"/>
      <c r="AI29" s="49" t="n"/>
      <c r="AJ29" s="50">
        <f>SUM(E29:AI29)</f>
        <v/>
      </c>
      <c r="AK29" s="50">
        <f>AJ29*D29</f>
        <v/>
      </c>
    </row>
    <row r="30" ht="25" customHeight="1">
      <c r="A30" s="26" t="inlineStr">
        <is>
          <t xml:space="preserve">   -  ผู้ดำเนินกิจกรรม, นักกีฬา</t>
        </is>
      </c>
      <c r="B30" s="30" t="inlineStr">
        <is>
          <t>วัน</t>
        </is>
      </c>
      <c r="C30" s="31" t="inlineStr">
        <is>
          <t>เหมา</t>
        </is>
      </c>
      <c r="D30" s="309" t="n">
        <v>60</v>
      </c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  <c r="AA30" s="29" t="n"/>
      <c r="AB30" s="29" t="n"/>
      <c r="AC30" s="29" t="n"/>
      <c r="AD30" s="29" t="n"/>
      <c r="AE30" s="29" t="n"/>
      <c r="AF30" s="29" t="n"/>
      <c r="AG30" s="29" t="n"/>
      <c r="AH30" s="29" t="n"/>
      <c r="AI30" s="29" t="n"/>
      <c r="AJ30" s="5">
        <f>SUM(E30:AI30)</f>
        <v/>
      </c>
      <c r="AK30" s="5">
        <f>AJ30*D30</f>
        <v/>
      </c>
    </row>
    <row r="31" ht="25" customHeight="1">
      <c r="A31" s="26" t="inlineStr">
        <is>
          <t xml:space="preserve">   -  ผู้ร่วมงาน</t>
        </is>
      </c>
      <c r="B31" s="30" t="inlineStr">
        <is>
          <t>วัน</t>
        </is>
      </c>
      <c r="C31" s="31" t="inlineStr">
        <is>
          <t>เหมา</t>
        </is>
      </c>
      <c r="D31" s="309" t="n">
        <v>30</v>
      </c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  <c r="AE31" s="32" t="n"/>
      <c r="AF31" s="32" t="n"/>
      <c r="AG31" s="32" t="n"/>
      <c r="AH31" s="32" t="n"/>
      <c r="AI31" s="32" t="n"/>
      <c r="AJ31" s="33">
        <f>SUM(E31:AI31)</f>
        <v/>
      </c>
      <c r="AK31" s="33">
        <f>AJ31*D31</f>
        <v/>
      </c>
    </row>
    <row r="32" ht="25" customFormat="1" customHeight="1" s="1">
      <c r="A32" s="40" t="inlineStr">
        <is>
          <t>3. ภารกิจสำคัญของ รพ./ตอบสนองนโยบาย ทร.</t>
        </is>
      </c>
      <c r="B32" s="51" t="n"/>
      <c r="C32" s="52" t="n"/>
      <c r="D32" s="52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45" t="n"/>
      <c r="AK32" s="46" t="n"/>
    </row>
    <row r="33" ht="25" customFormat="1" customHeight="1" s="1">
      <c r="A33" s="26" t="inlineStr">
        <is>
          <t xml:space="preserve">   -  เข้าร่วมการฝึกซ้อมอัคคีภัย, อุบัติภัยหมู่ ฯลฯ ระดับ รพ.</t>
        </is>
      </c>
      <c r="B33" s="30" t="inlineStr">
        <is>
          <t>วัน</t>
        </is>
      </c>
      <c r="C33" s="31" t="inlineStr">
        <is>
          <t>เหมา</t>
        </is>
      </c>
      <c r="D33" s="30" t="n">
        <v>60</v>
      </c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5">
        <f>SUM(E33:AI33)</f>
        <v/>
      </c>
      <c r="AK33" s="5">
        <f>AJ33*D33</f>
        <v/>
      </c>
    </row>
    <row r="34" ht="21" customFormat="1" customHeight="1" s="1">
      <c r="A34" s="26" t="inlineStr">
        <is>
          <t xml:space="preserve">   -  เข้าร่วมการฝึกซ้อมอัคคีภัย, อุบัติภัยหมู่ ฯลฯ ระดับหน่วยงาน</t>
        </is>
      </c>
      <c r="B34" s="27" t="inlineStr">
        <is>
          <t>วัน</t>
        </is>
      </c>
      <c r="C34" s="28" t="inlineStr">
        <is>
          <t>เหมา</t>
        </is>
      </c>
      <c r="D34" s="27" t="n">
        <v>30</v>
      </c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33">
        <f>SUM(E34:AI34)</f>
        <v/>
      </c>
      <c r="AK34" s="33">
        <f>AJ34*D34</f>
        <v/>
      </c>
    </row>
    <row r="35" ht="25" customFormat="1" customHeight="1" s="1">
      <c r="A35" s="26" t="inlineStr">
        <is>
          <t xml:space="preserve">   -  เข้าร่วมการทดสอบสมรรถภาพทางกายกำลังพล</t>
        </is>
      </c>
      <c r="B35" s="27" t="inlineStr">
        <is>
          <t>วัน</t>
        </is>
      </c>
      <c r="C35" s="28" t="inlineStr">
        <is>
          <t>เหมา</t>
        </is>
      </c>
      <c r="D35" s="27" t="n">
        <v>30</v>
      </c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33">
        <f>SUM(E35:AI35)</f>
        <v/>
      </c>
      <c r="AK35" s="33">
        <f>AJ35*D35</f>
        <v/>
      </c>
    </row>
    <row r="36" ht="25" customFormat="1" customHeight="1" s="1">
      <c r="A36" s="26" t="inlineStr">
        <is>
          <t xml:space="preserve">   -  คณะกรรมการการทดสอบสมรรถภาพทางกายกำลังพล</t>
        </is>
      </c>
      <c r="B36" s="27" t="inlineStr">
        <is>
          <t>วัน</t>
        </is>
      </c>
      <c r="C36" s="28" t="inlineStr">
        <is>
          <t>เหมา</t>
        </is>
      </c>
      <c r="D36" s="27" t="n">
        <v>60</v>
      </c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33">
        <f>SUM(E36:AI36)</f>
        <v/>
      </c>
      <c r="AK36" s="33">
        <f>AJ36*D36</f>
        <v/>
      </c>
    </row>
    <row r="37" ht="25" customHeight="1">
      <c r="A37" s="294" t="inlineStr">
        <is>
          <t>งานสถิติ/นิเทศในหน่วยงาน</t>
        </is>
      </c>
      <c r="B37" s="41" t="n"/>
      <c r="C37" s="42" t="n"/>
      <c r="D37" s="43" t="n"/>
      <c r="E37" s="693" t="n"/>
      <c r="F37" s="693" t="n"/>
      <c r="G37" s="693" t="n"/>
      <c r="H37" s="693" t="n"/>
      <c r="I37" s="693" t="n"/>
      <c r="J37" s="693" t="n"/>
      <c r="K37" s="693" t="n"/>
      <c r="L37" s="693" t="n"/>
      <c r="M37" s="693" t="n"/>
      <c r="N37" s="693" t="n"/>
      <c r="O37" s="693" t="n"/>
      <c r="P37" s="693" t="n"/>
      <c r="Q37" s="693" t="n"/>
      <c r="R37" s="693" t="n"/>
      <c r="S37" s="693" t="n"/>
      <c r="T37" s="693" t="n"/>
      <c r="U37" s="693" t="n"/>
      <c r="V37" s="693" t="n"/>
      <c r="W37" s="693" t="n"/>
      <c r="X37" s="693" t="n"/>
      <c r="Y37" s="693" t="n"/>
      <c r="Z37" s="693" t="n"/>
      <c r="AA37" s="693" t="n"/>
      <c r="AB37" s="693" t="n"/>
      <c r="AC37" s="693" t="n"/>
      <c r="AD37" s="693" t="n"/>
      <c r="AE37" s="693" t="n"/>
      <c r="AF37" s="693" t="n"/>
      <c r="AG37" s="693" t="n"/>
      <c r="AH37" s="693" t="n"/>
      <c r="AI37" s="693" t="n"/>
      <c r="AJ37" s="45" t="n"/>
      <c r="AK37" s="46" t="n"/>
    </row>
    <row r="38" ht="25" customHeight="1">
      <c r="A38" s="69" t="inlineStr">
        <is>
          <t>1. รวบรวมรายงานสถิติรายวัน</t>
        </is>
      </c>
      <c r="B38" s="57" t="inlineStr">
        <is>
          <t>รายการ</t>
        </is>
      </c>
      <c r="C38" s="48" t="inlineStr">
        <is>
          <t>เหมา</t>
        </is>
      </c>
      <c r="D38" s="310" t="n">
        <v>0.72</v>
      </c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  <c r="AA38" s="49" t="n"/>
      <c r="AB38" s="49" t="n"/>
      <c r="AC38" s="49" t="n"/>
      <c r="AD38" s="49" t="n"/>
      <c r="AE38" s="49" t="n"/>
      <c r="AF38" s="49" t="n"/>
      <c r="AG38" s="49" t="n"/>
      <c r="AH38" s="49" t="n"/>
      <c r="AI38" s="49" t="n"/>
      <c r="AJ38" s="50">
        <f>SUM(E38:AI38)</f>
        <v/>
      </c>
      <c r="AK38" s="50">
        <f>AJ38*D38</f>
        <v/>
      </c>
    </row>
    <row r="39" ht="25" customHeight="1">
      <c r="A39" s="69" t="inlineStr">
        <is>
          <t xml:space="preserve">2. รวบรวมรายงานสถิติรายเดือน </t>
        </is>
      </c>
      <c r="B39" s="58" t="inlineStr">
        <is>
          <t>รายการ</t>
        </is>
      </c>
      <c r="C39" s="28" t="inlineStr">
        <is>
          <t>เหมา</t>
        </is>
      </c>
      <c r="D39" s="8" t="n">
        <v>8.58</v>
      </c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  <c r="AA39" s="29" t="n"/>
      <c r="AB39" s="29" t="n"/>
      <c r="AC39" s="29" t="n"/>
      <c r="AD39" s="29" t="n"/>
      <c r="AE39" s="29" t="n"/>
      <c r="AF39" s="29" t="n"/>
      <c r="AG39" s="29" t="n"/>
      <c r="AH39" s="29" t="n"/>
      <c r="AI39" s="29" t="n"/>
      <c r="AJ39" s="5">
        <f>SUM(E39:AI39)</f>
        <v/>
      </c>
      <c r="AK39" s="5">
        <f>AJ39*D39</f>
        <v/>
      </c>
    </row>
    <row r="40" ht="25" customHeight="1">
      <c r="A40" s="69" t="inlineStr">
        <is>
          <t>3. รวบรวมข้อมูลสถิติความพึงพอใจ (2 ครั้ง/ปี)</t>
        </is>
      </c>
      <c r="B40" s="58" t="inlineStr">
        <is>
          <t>ครั้ง</t>
        </is>
      </c>
      <c r="C40" s="28" t="inlineStr">
        <is>
          <t>เหมา</t>
        </is>
      </c>
      <c r="D40" s="8" t="n">
        <v>8.58</v>
      </c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  <c r="AA40" s="29" t="n"/>
      <c r="AB40" s="29" t="n"/>
      <c r="AC40" s="29" t="n"/>
      <c r="AD40" s="29" t="n"/>
      <c r="AE40" s="29" t="n"/>
      <c r="AF40" s="29" t="n"/>
      <c r="AG40" s="29" t="n"/>
      <c r="AH40" s="29" t="n"/>
      <c r="AI40" s="29" t="n"/>
      <c r="AJ40" s="5">
        <f>SUM(E40:AI40)</f>
        <v/>
      </c>
      <c r="AK40" s="5">
        <f>AJ40*D40</f>
        <v/>
      </c>
    </row>
    <row r="41" ht="25" customHeight="1">
      <c r="A41" s="74" t="inlineStr">
        <is>
          <t>4. แนะนำผู้รับบริการทำแบบประเมินความพึงพอใจรายวัน</t>
        </is>
      </c>
      <c r="B41" s="60" t="inlineStr">
        <is>
          <t>ครั้ง</t>
        </is>
      </c>
      <c r="C41" s="61" t="n">
        <v>2</v>
      </c>
      <c r="D41" s="311">
        <f>C41*0.143</f>
        <v/>
      </c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  <c r="Z41" s="32" t="n"/>
      <c r="AA41" s="32" t="n"/>
      <c r="AB41" s="32" t="n"/>
      <c r="AC41" s="32" t="n"/>
      <c r="AD41" s="32" t="n"/>
      <c r="AE41" s="32" t="n"/>
      <c r="AF41" s="32" t="n"/>
      <c r="AG41" s="32" t="n"/>
      <c r="AH41" s="32" t="n"/>
      <c r="AI41" s="32" t="n"/>
      <c r="AJ41" s="33">
        <f>SUM(E41:AI41)</f>
        <v/>
      </c>
      <c r="AK41" s="33">
        <f>AJ41*D41</f>
        <v/>
      </c>
    </row>
    <row r="42" ht="25" customHeight="1">
      <c r="A42" s="294" t="inlineStr">
        <is>
          <t>การจัดเวร/เบิกค่าตอบแทน</t>
        </is>
      </c>
      <c r="B42" s="312" t="n"/>
      <c r="C42" s="313" t="n"/>
      <c r="D42" s="95" t="n"/>
      <c r="E42" s="693" t="n"/>
      <c r="F42" s="693" t="n"/>
      <c r="G42" s="693" t="n"/>
      <c r="H42" s="693" t="n"/>
      <c r="I42" s="693" t="n"/>
      <c r="J42" s="693" t="n"/>
      <c r="K42" s="693" t="n"/>
      <c r="L42" s="693" t="n"/>
      <c r="M42" s="693" t="n"/>
      <c r="N42" s="693" t="n"/>
      <c r="O42" s="693" t="n"/>
      <c r="P42" s="693" t="n"/>
      <c r="Q42" s="693" t="n"/>
      <c r="R42" s="693" t="n"/>
      <c r="S42" s="693" t="n"/>
      <c r="T42" s="693" t="n"/>
      <c r="U42" s="693" t="n"/>
      <c r="V42" s="693" t="n"/>
      <c r="W42" s="693" t="n"/>
      <c r="X42" s="693" t="n"/>
      <c r="Y42" s="693" t="n"/>
      <c r="Z42" s="693" t="n"/>
      <c r="AA42" s="693" t="n"/>
      <c r="AB42" s="693" t="n"/>
      <c r="AC42" s="693" t="n"/>
      <c r="AD42" s="693" t="n"/>
      <c r="AE42" s="693" t="n"/>
      <c r="AF42" s="693" t="n"/>
      <c r="AG42" s="693" t="n"/>
      <c r="AH42" s="693" t="n"/>
      <c r="AI42" s="693" t="n"/>
      <c r="AJ42" s="45" t="n"/>
      <c r="AK42" s="46" t="n"/>
    </row>
    <row r="43" ht="25" customHeight="1">
      <c r="A43" s="87" t="inlineStr">
        <is>
          <t>1. จัดตารางเวร (1ครั้ง/เดือน)</t>
        </is>
      </c>
      <c r="B43" s="314" t="inlineStr">
        <is>
          <t xml:space="preserve">เดือน </t>
        </is>
      </c>
      <c r="C43" s="48" t="inlineStr">
        <is>
          <t>เหมา</t>
        </is>
      </c>
      <c r="D43" s="314" t="n">
        <v>30</v>
      </c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  <c r="AA43" s="49" t="n"/>
      <c r="AB43" s="49" t="n"/>
      <c r="AC43" s="49" t="n"/>
      <c r="AD43" s="49" t="n"/>
      <c r="AE43" s="49" t="n"/>
      <c r="AF43" s="49" t="n"/>
      <c r="AG43" s="49" t="n"/>
      <c r="AH43" s="49" t="n"/>
      <c r="AI43" s="49" t="n"/>
      <c r="AJ43" s="50">
        <f>SUM(E43:AI43)</f>
        <v/>
      </c>
      <c r="AK43" s="50">
        <f>AJ43*D43</f>
        <v/>
      </c>
    </row>
    <row r="44" ht="50" customHeight="1">
      <c r="A44" s="87" t="inlineStr">
        <is>
          <t>2. การเบิกค่าตอบแทนเวรนอกเวลา (แพทย์/ทันตแพทย์, พยาบาล, เจ้าหน้าที่อื่น ลงคะแนน 1ครั้ง/เดือน)</t>
        </is>
      </c>
      <c r="B44" s="692" t="inlineStr">
        <is>
          <t xml:space="preserve">เดือน </t>
        </is>
      </c>
      <c r="C44" s="28" t="inlineStr">
        <is>
          <t>เหมา</t>
        </is>
      </c>
      <c r="D44" s="692" t="n">
        <v>60</v>
      </c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  <c r="AA44" s="29" t="n"/>
      <c r="AB44" s="29" t="n"/>
      <c r="AC44" s="29" t="n"/>
      <c r="AD44" s="29" t="n"/>
      <c r="AE44" s="29" t="n"/>
      <c r="AF44" s="29" t="n"/>
      <c r="AG44" s="29" t="n"/>
      <c r="AH44" s="29" t="n"/>
      <c r="AI44" s="29" t="n"/>
      <c r="AJ44" s="5">
        <f>SUM(E44:AI44)</f>
        <v/>
      </c>
      <c r="AK44" s="5">
        <f>AJ44*D44</f>
        <v/>
      </c>
    </row>
    <row r="45" ht="25" customHeight="1">
      <c r="A45" s="87" t="inlineStr">
        <is>
          <t>3. การเบิกค่าตอบแทน P4P (1ครั้ง/เดือน)</t>
        </is>
      </c>
      <c r="B45" s="692" t="inlineStr">
        <is>
          <t xml:space="preserve">เดือน </t>
        </is>
      </c>
      <c r="C45" s="28" t="inlineStr">
        <is>
          <t>เหมา</t>
        </is>
      </c>
      <c r="D45" s="692" t="n">
        <v>60</v>
      </c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  <c r="AA45" s="29" t="n"/>
      <c r="AB45" s="29" t="n"/>
      <c r="AC45" s="29" t="n"/>
      <c r="AD45" s="29" t="n"/>
      <c r="AE45" s="29" t="n"/>
      <c r="AF45" s="29" t="n"/>
      <c r="AG45" s="29" t="n"/>
      <c r="AH45" s="29" t="n"/>
      <c r="AI45" s="29" t="n"/>
      <c r="AJ45" s="5">
        <f>SUM(E45:AI45)</f>
        <v/>
      </c>
      <c r="AK45" s="5">
        <f>AJ45*D45</f>
        <v/>
      </c>
    </row>
    <row r="46" ht="25" customHeight="1">
      <c r="A46" s="69" t="inlineStr">
        <is>
          <t>4. ตรวจสอบข้อมูลการสแกนเข้าออกของเจ้าหน้าที่ประจำเดือน</t>
        </is>
      </c>
      <c r="B46" s="315" t="inlineStr">
        <is>
          <t xml:space="preserve">เดือน </t>
        </is>
      </c>
      <c r="C46" s="31" t="inlineStr">
        <is>
          <t>เหมา</t>
        </is>
      </c>
      <c r="D46" s="316" t="n">
        <v>8.58</v>
      </c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  <c r="AD46" s="32" t="n"/>
      <c r="AE46" s="32" t="n"/>
      <c r="AF46" s="32" t="n"/>
      <c r="AG46" s="32" t="n"/>
      <c r="AH46" s="32" t="n"/>
      <c r="AI46" s="32" t="n"/>
      <c r="AJ46" s="33">
        <f>SUM(E46:AI46)</f>
        <v/>
      </c>
      <c r="AK46" s="33">
        <f>AJ46*D46</f>
        <v/>
      </c>
    </row>
    <row r="47" ht="25" customHeight="1">
      <c r="A47" s="294" t="inlineStr">
        <is>
          <t>การประเมินผลการปฏิบัติงาน/สัมภาษณ์เจ้าหน้าที่</t>
        </is>
      </c>
      <c r="B47" s="56" t="n"/>
      <c r="C47" s="53" t="n"/>
      <c r="D47" s="53" t="n"/>
      <c r="E47" s="693" t="n"/>
      <c r="F47" s="693" t="n"/>
      <c r="G47" s="693" t="n"/>
      <c r="H47" s="693" t="n"/>
      <c r="I47" s="693" t="n"/>
      <c r="J47" s="693" t="n"/>
      <c r="K47" s="693" t="n"/>
      <c r="L47" s="693" t="n"/>
      <c r="M47" s="693" t="n"/>
      <c r="N47" s="693" t="n"/>
      <c r="O47" s="693" t="n"/>
      <c r="P47" s="693" t="n"/>
      <c r="Q47" s="693" t="n"/>
      <c r="R47" s="693" t="n"/>
      <c r="S47" s="693" t="n"/>
      <c r="T47" s="693" t="n"/>
      <c r="U47" s="693" t="n"/>
      <c r="V47" s="693" t="n"/>
      <c r="W47" s="693" t="n"/>
      <c r="X47" s="693" t="n"/>
      <c r="Y47" s="693" t="n"/>
      <c r="Z47" s="693" t="n"/>
      <c r="AA47" s="693" t="n"/>
      <c r="AB47" s="693" t="n"/>
      <c r="AC47" s="693" t="n"/>
      <c r="AD47" s="693" t="n"/>
      <c r="AE47" s="693" t="n"/>
      <c r="AF47" s="693" t="n"/>
      <c r="AG47" s="693" t="n"/>
      <c r="AH47" s="693" t="n"/>
      <c r="AI47" s="693" t="n"/>
      <c r="AJ47" s="45" t="n"/>
      <c r="AK47" s="46" t="n"/>
    </row>
    <row r="48" ht="25" customHeight="1">
      <c r="A48" s="69" t="inlineStr">
        <is>
          <t>1. ประเมินผลนักศึกษา (Approve)</t>
        </is>
      </c>
      <c r="B48" s="54" t="inlineStr">
        <is>
          <t>ครั้ง</t>
        </is>
      </c>
      <c r="C48" s="54" t="inlineStr">
        <is>
          <t>เหมา</t>
        </is>
      </c>
      <c r="D48" s="310" t="n">
        <v>8.58</v>
      </c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  <c r="AA48" s="49" t="n"/>
      <c r="AB48" s="49" t="n"/>
      <c r="AC48" s="49" t="n"/>
      <c r="AD48" s="49" t="n"/>
      <c r="AE48" s="49" t="n"/>
      <c r="AF48" s="49" t="n"/>
      <c r="AG48" s="49" t="n"/>
      <c r="AH48" s="49" t="n"/>
      <c r="AI48" s="49" t="n"/>
      <c r="AJ48" s="50">
        <f>SUM(E48:AI48)</f>
        <v/>
      </c>
      <c r="AK48" s="50">
        <f>AJ48*D48</f>
        <v/>
      </c>
    </row>
    <row r="49" ht="25" customHeight="1">
      <c r="A49" s="69" t="inlineStr">
        <is>
          <t>2. ประเมินผลการปฏิบัติงานเจ้าหน้าที่ KPI (2 ครั้ง/ปี)</t>
        </is>
      </c>
      <c r="B49" s="8" t="inlineStr">
        <is>
          <t>ราย</t>
        </is>
      </c>
      <c r="C49" s="54" t="inlineStr">
        <is>
          <t>เหมา</t>
        </is>
      </c>
      <c r="D49" s="8" t="n">
        <v>1.43</v>
      </c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  <c r="AA49" s="29" t="n"/>
      <c r="AB49" s="29" t="n"/>
      <c r="AC49" s="29" t="n"/>
      <c r="AD49" s="29" t="n"/>
      <c r="AE49" s="29" t="n"/>
      <c r="AF49" s="29" t="n"/>
      <c r="AG49" s="29" t="n"/>
      <c r="AH49" s="29" t="n"/>
      <c r="AI49" s="29" t="n"/>
      <c r="AJ49" s="5">
        <f>SUM(E49:AI49)</f>
        <v/>
      </c>
      <c r="AK49" s="5">
        <f>AJ49*D49</f>
        <v/>
      </c>
    </row>
    <row r="50" ht="25" customHeight="1">
      <c r="A50" s="69" t="inlineStr">
        <is>
          <t>3. ประเมินผลการปฏิบัติงานเจ้าหน้าที่ (สมรรถนะ)(1 ครั้ง/ปี)</t>
        </is>
      </c>
      <c r="B50" s="8" t="inlineStr">
        <is>
          <t>ราย</t>
        </is>
      </c>
      <c r="C50" s="54" t="inlineStr">
        <is>
          <t>เหมา</t>
        </is>
      </c>
      <c r="D50" s="8" t="n">
        <v>1.43</v>
      </c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  <c r="AA50" s="29" t="n"/>
      <c r="AB50" s="29" t="n"/>
      <c r="AC50" s="29" t="n"/>
      <c r="AD50" s="29" t="n"/>
      <c r="AE50" s="29" t="n"/>
      <c r="AF50" s="29" t="n"/>
      <c r="AG50" s="29" t="n"/>
      <c r="AH50" s="29" t="n"/>
      <c r="AI50" s="29" t="n"/>
      <c r="AJ50" s="5">
        <f>SUM(E50:AI50)</f>
        <v/>
      </c>
      <c r="AK50" s="5">
        <f>AJ50*D50</f>
        <v/>
      </c>
    </row>
    <row r="51" ht="25" customHeight="1">
      <c r="A51" s="69" t="inlineStr">
        <is>
          <t>4. สัมภาษณ์เจ้าหน้าที่ (มีคำสั่งเป็น คก.สัมภาษณ์)</t>
        </is>
      </c>
      <c r="B51" s="317" t="inlineStr">
        <is>
          <t>ราย</t>
        </is>
      </c>
      <c r="C51" s="15" t="inlineStr">
        <is>
          <t>เหมา</t>
        </is>
      </c>
      <c r="D51" s="317" t="n">
        <v>2.86</v>
      </c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3">
        <f>SUM(E51:AI51)</f>
        <v/>
      </c>
      <c r="AK51" s="33">
        <f>AJ51*D51</f>
        <v/>
      </c>
    </row>
    <row r="52" ht="25" customHeight="1">
      <c r="A52" s="294" t="inlineStr">
        <is>
          <t>งานครุภัณฑ์ / เวชภัณฑ์ / ยา</t>
        </is>
      </c>
      <c r="B52" s="56" t="n"/>
      <c r="C52" s="53" t="n"/>
      <c r="D52" s="9" t="n"/>
      <c r="E52" s="693" t="n"/>
      <c r="F52" s="693" t="n"/>
      <c r="G52" s="693" t="n"/>
      <c r="H52" s="693" t="n"/>
      <c r="I52" s="693" t="n"/>
      <c r="J52" s="693" t="n"/>
      <c r="K52" s="693" t="n"/>
      <c r="L52" s="693" t="n"/>
      <c r="M52" s="693" t="n"/>
      <c r="N52" s="693" t="n"/>
      <c r="O52" s="693" t="n"/>
      <c r="P52" s="693" t="n"/>
      <c r="Q52" s="693" t="n"/>
      <c r="R52" s="693" t="n"/>
      <c r="S52" s="693" t="n"/>
      <c r="T52" s="693" t="n"/>
      <c r="U52" s="693" t="n"/>
      <c r="V52" s="693" t="n"/>
      <c r="W52" s="693" t="n"/>
      <c r="X52" s="693" t="n"/>
      <c r="Y52" s="693" t="n"/>
      <c r="Z52" s="693" t="n"/>
      <c r="AA52" s="693" t="n"/>
      <c r="AB52" s="693" t="n"/>
      <c r="AC52" s="693" t="n"/>
      <c r="AD52" s="693" t="n"/>
      <c r="AE52" s="693" t="n"/>
      <c r="AF52" s="693" t="n"/>
      <c r="AG52" s="693" t="n"/>
      <c r="AH52" s="693" t="n"/>
      <c r="AI52" s="693" t="n"/>
      <c r="AJ52" s="45" t="n"/>
      <c r="AK52" s="46" t="n"/>
    </row>
    <row r="53" ht="25" customHeight="1">
      <c r="A53" s="19" t="inlineStr">
        <is>
          <t xml:space="preserve">1. เปิดซองประกวดราคา </t>
        </is>
      </c>
      <c r="B53" s="71" t="inlineStr">
        <is>
          <t>รายการ</t>
        </is>
      </c>
      <c r="C53" s="92" t="inlineStr">
        <is>
          <t>เหมา</t>
        </is>
      </c>
      <c r="D53" s="318" t="n">
        <v>8.58</v>
      </c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  <c r="AA53" s="49" t="n"/>
      <c r="AB53" s="49" t="n"/>
      <c r="AC53" s="49" t="n"/>
      <c r="AD53" s="49" t="n"/>
      <c r="AE53" s="49" t="n"/>
      <c r="AF53" s="49" t="n"/>
      <c r="AG53" s="49" t="n"/>
      <c r="AH53" s="49" t="n"/>
      <c r="AI53" s="49" t="n"/>
      <c r="AJ53" s="50">
        <f>SUM(E53:AI53)</f>
        <v/>
      </c>
      <c r="AK53" s="50">
        <f>AJ53*D53</f>
        <v/>
      </c>
    </row>
    <row r="54" ht="50" customHeight="1">
      <c r="A54" s="69" t="inlineStr">
        <is>
          <r>
            <rPr>
              <rFont val="TH SarabunPSK"/>
              <family val="2"/>
              <b val="1"/>
              <color theme="1"/>
              <sz val="16"/>
            </rPr>
            <t>2. เสนอ</t>
          </r>
          <r>
            <rPr>
              <rFont val="TH SarabunPSK"/>
              <family val="2"/>
              <color theme="1"/>
              <sz val="16"/>
            </rPr>
            <t>ความต้องการครุภัณฑ์ทางการแพทย์/
ครุภัณฑ์ประจำหน่วยงาน (ม.ค.)</t>
          </r>
        </is>
      </c>
      <c r="B54" s="73" t="inlineStr">
        <is>
          <t>ปี</t>
        </is>
      </c>
      <c r="C54" s="86" t="inlineStr">
        <is>
          <t>เหมา</t>
        </is>
      </c>
      <c r="D54" s="319" t="n">
        <v>30</v>
      </c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  <c r="AA54" s="29" t="n"/>
      <c r="AB54" s="29" t="n"/>
      <c r="AC54" s="29" t="n"/>
      <c r="AD54" s="29" t="n"/>
      <c r="AE54" s="29" t="n"/>
      <c r="AF54" s="29" t="n"/>
      <c r="AG54" s="29" t="n"/>
      <c r="AH54" s="29" t="n"/>
      <c r="AI54" s="29" t="n"/>
      <c r="AJ54" s="5">
        <f>SUM(E54:AI54)</f>
        <v/>
      </c>
      <c r="AK54" s="5">
        <f>AJ54*D54</f>
        <v/>
      </c>
    </row>
    <row r="55" ht="50" customHeight="1">
      <c r="A55" s="69" t="inlineStr">
        <is>
          <r>
            <rPr>
              <rFont val="TH SarabunPSK"/>
              <family val="2"/>
              <b val="1"/>
              <color theme="1"/>
              <sz val="16"/>
            </rPr>
            <t>3. สรุปยอด</t>
          </r>
          <r>
            <rPr>
              <rFont val="TH SarabunPSK"/>
              <family val="2"/>
              <color theme="1"/>
              <sz val="16"/>
            </rPr>
            <t>ครุภัณฑ์ทางการแพทย์/
ครุภัณฑ์ประจำหน่วยงาน (ก.ย.)</t>
          </r>
        </is>
      </c>
      <c r="B55" s="73" t="inlineStr">
        <is>
          <t>ปี</t>
        </is>
      </c>
      <c r="C55" s="86" t="inlineStr">
        <is>
          <t>เหมา</t>
        </is>
      </c>
      <c r="D55" s="319" t="n">
        <v>60</v>
      </c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  <c r="AA55" s="29" t="n"/>
      <c r="AB55" s="29" t="n"/>
      <c r="AC55" s="29" t="n"/>
      <c r="AD55" s="29" t="n"/>
      <c r="AE55" s="29" t="n"/>
      <c r="AF55" s="29" t="n"/>
      <c r="AG55" s="29" t="n"/>
      <c r="AH55" s="29" t="n"/>
      <c r="AI55" s="29" t="n"/>
      <c r="AJ55" s="5">
        <f>SUM(E55:AI55)</f>
        <v/>
      </c>
      <c r="AK55" s="5">
        <f>AJ55*D55</f>
        <v/>
      </c>
    </row>
    <row r="56" ht="50" customHeight="1">
      <c r="A56" s="69" t="inlineStr">
        <is>
          <r>
            <rPr>
              <rFont val="TH SarabunPSK"/>
              <family val="2"/>
              <b val="1"/>
              <color theme="1"/>
              <sz val="16"/>
            </rPr>
            <t>4. รับทราบการรับพัสดุ</t>
          </r>
          <r>
            <rPr>
              <rFont val="TH SarabunPSK"/>
              <family val="2"/>
              <color theme="1"/>
              <sz val="16"/>
            </rPr>
            <t>ครุภัณฑ์ทางการแพทย์/
ครุภัณฑ์ประจำหอผู้ป่วย</t>
          </r>
        </is>
      </c>
      <c r="B56" s="73" t="inlineStr">
        <is>
          <t>ครั้ง</t>
        </is>
      </c>
      <c r="C56" s="86" t="inlineStr">
        <is>
          <t>เหมา</t>
        </is>
      </c>
      <c r="D56" s="319" t="n">
        <v>1.43</v>
      </c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  <c r="AA56" s="29" t="n"/>
      <c r="AB56" s="29" t="n"/>
      <c r="AC56" s="29" t="n"/>
      <c r="AD56" s="29" t="n"/>
      <c r="AE56" s="29" t="n"/>
      <c r="AF56" s="29" t="n"/>
      <c r="AG56" s="29" t="n"/>
      <c r="AH56" s="29" t="n"/>
      <c r="AI56" s="29" t="n"/>
      <c r="AJ56" s="5">
        <f>SUM(E56:AI56)</f>
        <v/>
      </c>
      <c r="AK56" s="5">
        <f>AJ56*D56</f>
        <v/>
      </c>
    </row>
    <row r="57" ht="25" customHeight="1">
      <c r="A57" s="16" t="inlineStr">
        <is>
          <t>5. ขึ้นทะเบียนครุภัณฑ์</t>
        </is>
      </c>
      <c r="B57" s="14" t="inlineStr">
        <is>
          <t>รายการ</t>
        </is>
      </c>
      <c r="C57" s="71" t="inlineStr">
        <is>
          <t>เหมา</t>
        </is>
      </c>
      <c r="D57" s="56" t="n">
        <v>4.29</v>
      </c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  <c r="AA57" s="29" t="n"/>
      <c r="AB57" s="29" t="n"/>
      <c r="AC57" s="29" t="n"/>
      <c r="AD57" s="29" t="n"/>
      <c r="AE57" s="29" t="n"/>
      <c r="AF57" s="29" t="n"/>
      <c r="AG57" s="29" t="n"/>
      <c r="AH57" s="29" t="n"/>
      <c r="AI57" s="29" t="n"/>
      <c r="AJ57" s="5">
        <f>SUM(E57:AI57)</f>
        <v/>
      </c>
      <c r="AK57" s="5">
        <f>AJ57*D57</f>
        <v/>
      </c>
    </row>
    <row r="58" ht="25" customHeight="1">
      <c r="A58" s="69" t="inlineStr">
        <is>
          <t>6. แทงจำหน่าย/ย้าย/โอนครุภัณฑ์</t>
        </is>
      </c>
      <c r="B58" s="14" t="inlineStr">
        <is>
          <t>รายการ</t>
        </is>
      </c>
      <c r="C58" s="71" t="inlineStr">
        <is>
          <t>เหมา</t>
        </is>
      </c>
      <c r="D58" s="319" t="n">
        <v>8.58</v>
      </c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  <c r="AA58" s="29" t="n"/>
      <c r="AB58" s="29" t="n"/>
      <c r="AC58" s="29" t="n"/>
      <c r="AD58" s="29" t="n"/>
      <c r="AE58" s="29" t="n"/>
      <c r="AF58" s="29" t="n"/>
      <c r="AG58" s="29" t="n"/>
      <c r="AH58" s="29" t="n"/>
      <c r="AI58" s="29" t="n"/>
      <c r="AJ58" s="5">
        <f>SUM(E58:AI58)</f>
        <v/>
      </c>
      <c r="AK58" s="5">
        <f>AJ58*D58</f>
        <v/>
      </c>
    </row>
    <row r="59" ht="50" customHeight="1">
      <c r="A59" s="69" t="inlineStr">
        <is>
          <r>
            <t xml:space="preserve">7. กำหนด </t>
          </r>
          <r>
            <rPr>
              <rFont val="TH SarabunPSK"/>
              <family val="2"/>
              <b val="1"/>
              <color theme="1"/>
              <sz val="16"/>
            </rPr>
            <t>Spec/ร่าง TOR/กำหนดคุณลักษณะ</t>
          </r>
          <r>
            <rPr>
              <rFont val="TH SarabunPSK"/>
              <family val="2"/>
              <color theme="1"/>
              <sz val="16"/>
            </rPr>
            <t>
 </t>
          </r>
          <r>
            <rPr>
              <rFont val="TH SarabunPSK"/>
              <family val="2"/>
              <color rgb="FFFF0000"/>
              <sz val="16"/>
            </rPr>
            <t>ประธาน 3 เท่า,เลขา 2.5 เท่า, กรรมการ 2 เท่า</t>
          </r>
        </is>
      </c>
      <c r="B59" s="14" t="inlineStr">
        <is>
          <t>รายการ</t>
        </is>
      </c>
      <c r="C59" s="71" t="inlineStr">
        <is>
          <t>เหมา</t>
        </is>
      </c>
      <c r="D59" s="320" t="n">
        <v>60.06</v>
      </c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  <c r="AA59" s="29" t="n"/>
      <c r="AB59" s="29" t="n"/>
      <c r="AC59" s="29" t="n"/>
      <c r="AD59" s="29" t="n"/>
      <c r="AE59" s="29" t="n"/>
      <c r="AF59" s="29" t="n"/>
      <c r="AG59" s="29" t="n"/>
      <c r="AH59" s="29" t="n"/>
      <c r="AI59" s="29" t="n"/>
      <c r="AJ59" s="5">
        <f>SUM(E59:AI59)</f>
        <v/>
      </c>
      <c r="AK59" s="5">
        <f>AJ59*D59</f>
        <v/>
      </c>
    </row>
    <row r="60" ht="50" customHeight="1">
      <c r="A60" s="94" t="inlineStr">
        <is>
          <r>
            <t xml:space="preserve">8. ตรวจรับครุภัณฑ์การแพทย์ราคา  </t>
          </r>
          <r>
            <rPr>
              <rFont val="TH SarabunPSK"/>
              <family val="2"/>
              <b val="1"/>
              <color theme="1"/>
              <sz val="16"/>
            </rPr>
            <t>&gt;500,000 บาท</t>
          </r>
          <r>
            <rPr>
              <rFont val="TH SarabunPSK"/>
              <family val="2"/>
              <color theme="1"/>
              <sz val="16"/>
            </rPr>
            <t>
 </t>
          </r>
          <r>
            <rPr>
              <rFont val="TH SarabunPSK"/>
              <family val="2"/>
              <color rgb="FFFF0000"/>
              <sz val="16"/>
            </rPr>
            <t>ประธาน 3 เท่า, เลขา 2.5 เท่า, กรรมการ 2 เท่า</t>
          </r>
        </is>
      </c>
      <c r="B60" s="14" t="inlineStr">
        <is>
          <t>รายการ</t>
        </is>
      </c>
      <c r="C60" s="71" t="inlineStr">
        <is>
          <t>เหมา</t>
        </is>
      </c>
      <c r="D60" s="319" t="n">
        <v>30</v>
      </c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  <c r="AA60" s="29" t="n"/>
      <c r="AB60" s="29" t="n"/>
      <c r="AC60" s="29" t="n"/>
      <c r="AD60" s="29" t="n"/>
      <c r="AE60" s="29" t="n"/>
      <c r="AF60" s="29" t="n"/>
      <c r="AG60" s="29" t="n"/>
      <c r="AH60" s="29" t="n"/>
      <c r="AI60" s="29" t="n"/>
      <c r="AJ60" s="5">
        <f>SUM(E60:AI60)</f>
        <v/>
      </c>
      <c r="AK60" s="5">
        <f>AJ60*D60</f>
        <v/>
      </c>
    </row>
    <row r="61" ht="50" customHeight="1">
      <c r="A61" s="69" t="inlineStr">
        <is>
          <r>
            <t xml:space="preserve">9. ตรวจรับครุภัณฑ์การแพทย์ราคา  </t>
          </r>
          <r>
            <rPr>
              <rFont val="TH SarabunPSK"/>
              <family val="2"/>
              <b val="1"/>
              <color theme="1"/>
              <sz val="16"/>
            </rPr>
            <t>&lt;500,000 บาท</t>
          </r>
          <r>
            <rPr>
              <rFont val="TH SarabunPSK"/>
              <family val="2"/>
              <color theme="1"/>
              <sz val="16"/>
            </rPr>
            <t>
</t>
          </r>
          <r>
            <rPr>
              <rFont val="TH SarabunPSK"/>
              <family val="2"/>
              <color rgb="FFFF0000"/>
              <sz val="16"/>
            </rPr>
            <t xml:space="preserve"> ประธาน 3 เท่า, เลขา 2.5 เท่า, กรรมการ 2 เท่า</t>
          </r>
        </is>
      </c>
      <c r="B61" s="14" t="inlineStr">
        <is>
          <t>รายการ</t>
        </is>
      </c>
      <c r="C61" s="71" t="inlineStr">
        <is>
          <t>เหมา</t>
        </is>
      </c>
      <c r="D61" s="319" t="n">
        <v>20</v>
      </c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  <c r="AA61" s="29" t="n"/>
      <c r="AB61" s="29" t="n"/>
      <c r="AC61" s="29" t="n"/>
      <c r="AD61" s="29" t="n"/>
      <c r="AE61" s="29" t="n"/>
      <c r="AF61" s="29" t="n"/>
      <c r="AG61" s="29" t="n"/>
      <c r="AH61" s="29" t="n"/>
      <c r="AI61" s="29" t="n"/>
      <c r="AJ61" s="5">
        <f>SUM(E61:AI61)</f>
        <v/>
      </c>
      <c r="AK61" s="5">
        <f>AJ61*D61</f>
        <v/>
      </c>
    </row>
    <row r="62" ht="50" customHeight="1">
      <c r="A62" s="69" t="inlineStr">
        <is>
          <t xml:space="preserve">10. รายงาน/ตรวจสอบครุภัณฑ์ /เวชภัณฑ์ / ยา 
ประจำปี </t>
        </is>
      </c>
      <c r="B62" s="73" t="inlineStr">
        <is>
          <t>ปี</t>
        </is>
      </c>
      <c r="C62" s="86" t="inlineStr">
        <is>
          <t>เหมา</t>
        </is>
      </c>
      <c r="D62" s="319" t="n">
        <v>60.06</v>
      </c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  <c r="AA62" s="29" t="n"/>
      <c r="AB62" s="29" t="n"/>
      <c r="AC62" s="29" t="n"/>
      <c r="AD62" s="29" t="n"/>
      <c r="AE62" s="29" t="n"/>
      <c r="AF62" s="29" t="n"/>
      <c r="AG62" s="29" t="n"/>
      <c r="AH62" s="29" t="n"/>
      <c r="AI62" s="29" t="n"/>
      <c r="AJ62" s="5">
        <f>SUM(E62:AI62)</f>
        <v/>
      </c>
      <c r="AK62" s="5">
        <f>AJ62*D62</f>
        <v/>
      </c>
    </row>
    <row r="63" ht="25" customHeight="1">
      <c r="A63" s="69" t="inlineStr">
        <is>
          <r>
            <t xml:space="preserve">11. รายงาน/ตรวจสอบครุภัณฑ์ /เวชภัณฑ์ / ยา ประจำปี </t>
          </r>
          <r>
            <rPr>
              <rFont val="TH SarabunPSK"/>
              <family val="2"/>
              <b val="1"/>
              <color rgb="FFFF0000"/>
              <sz val="16"/>
            </rPr>
            <t>(มีคำสั่ง)</t>
          </r>
        </is>
      </c>
      <c r="B63" s="61" t="inlineStr">
        <is>
          <t>ปี</t>
        </is>
      </c>
      <c r="C63" s="60" t="inlineStr">
        <is>
          <t>เหมา</t>
        </is>
      </c>
      <c r="D63" s="320" t="n">
        <v>60.06</v>
      </c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  <c r="AE63" s="32" t="n"/>
      <c r="AF63" s="32" t="n"/>
      <c r="AG63" s="32" t="n"/>
      <c r="AH63" s="32" t="n"/>
      <c r="AI63" s="32" t="n"/>
      <c r="AJ63" s="33">
        <f>SUM(E63:AI63)</f>
        <v/>
      </c>
      <c r="AK63" s="33">
        <f>AJ63*D63</f>
        <v/>
      </c>
    </row>
    <row r="64" ht="25" customHeight="1">
      <c r="A64" s="294" t="inlineStr">
        <is>
          <t>การจัดการความเสี่ยง</t>
        </is>
      </c>
      <c r="B64" s="82" t="n"/>
      <c r="C64" s="95" t="n"/>
      <c r="D64" s="95" t="n"/>
      <c r="E64" s="693" t="n"/>
      <c r="F64" s="693" t="n"/>
      <c r="G64" s="693" t="n"/>
      <c r="H64" s="693" t="n"/>
      <c r="I64" s="693" t="n"/>
      <c r="J64" s="693" t="n"/>
      <c r="K64" s="693" t="n"/>
      <c r="L64" s="693" t="n"/>
      <c r="M64" s="693" t="n"/>
      <c r="N64" s="693" t="n"/>
      <c r="O64" s="693" t="n"/>
      <c r="P64" s="693" t="n"/>
      <c r="Q64" s="693" t="n"/>
      <c r="R64" s="693" t="n"/>
      <c r="S64" s="693" t="n"/>
      <c r="T64" s="693" t="n"/>
      <c r="U64" s="693" t="n"/>
      <c r="V64" s="693" t="n"/>
      <c r="W64" s="693" t="n"/>
      <c r="X64" s="693" t="n"/>
      <c r="Y64" s="693" t="n"/>
      <c r="Z64" s="693" t="n"/>
      <c r="AA64" s="693" t="n"/>
      <c r="AB64" s="693" t="n"/>
      <c r="AC64" s="693" t="n"/>
      <c r="AD64" s="693" t="n"/>
      <c r="AE64" s="693" t="n"/>
      <c r="AF64" s="693" t="n"/>
      <c r="AG64" s="693" t="n"/>
      <c r="AH64" s="693" t="n"/>
      <c r="AI64" s="693" t="n"/>
      <c r="AJ64" s="45" t="n"/>
      <c r="AK64" s="46" t="n"/>
    </row>
    <row r="65" ht="25" customHeight="1">
      <c r="A65" s="69" t="inlineStr">
        <is>
          <t>1. รายงานความเสี่ยง HRMS / เอกสารอื่น ๆ</t>
        </is>
      </c>
      <c r="B65" s="54" t="inlineStr">
        <is>
          <t>ราย</t>
        </is>
      </c>
      <c r="C65" s="92" t="inlineStr">
        <is>
          <t>เหมา</t>
        </is>
      </c>
      <c r="D65" s="318" t="n">
        <v>4.29</v>
      </c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  <c r="AA65" s="49" t="n"/>
      <c r="AB65" s="49" t="n"/>
      <c r="AC65" s="49" t="n"/>
      <c r="AD65" s="49" t="n"/>
      <c r="AE65" s="49" t="n"/>
      <c r="AF65" s="49" t="n"/>
      <c r="AG65" s="49" t="n"/>
      <c r="AH65" s="49" t="n"/>
      <c r="AI65" s="49" t="n"/>
      <c r="AJ65" s="50">
        <f>SUM(E65:AI65)</f>
        <v/>
      </c>
      <c r="AK65" s="50">
        <f>AJ65*D65</f>
        <v/>
      </c>
    </row>
    <row r="66" ht="25" customHeight="1">
      <c r="A66" s="69" t="inlineStr">
        <is>
          <t xml:space="preserve">2. การยืนยัน HRMS และการแก้ไขในระบบ </t>
        </is>
      </c>
      <c r="B66" s="14" t="inlineStr">
        <is>
          <t>ราย</t>
        </is>
      </c>
      <c r="C66" s="86" t="inlineStr">
        <is>
          <t>เหมา</t>
        </is>
      </c>
      <c r="D66" s="319" t="n">
        <v>4.29</v>
      </c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  <c r="AA66" s="29" t="n"/>
      <c r="AB66" s="29" t="n"/>
      <c r="AC66" s="29" t="n"/>
      <c r="AD66" s="29" t="n"/>
      <c r="AE66" s="29" t="n"/>
      <c r="AF66" s="29" t="n"/>
      <c r="AG66" s="29" t="n"/>
      <c r="AH66" s="29" t="n"/>
      <c r="AI66" s="29" t="n"/>
      <c r="AJ66" s="5">
        <f>SUM(E66:AI66)</f>
        <v/>
      </c>
      <c r="AK66" s="5">
        <f>AJ66*D66</f>
        <v/>
      </c>
    </row>
    <row r="67" ht="25" customHeight="1">
      <c r="A67" s="69" t="inlineStr">
        <is>
          <t>3. ตอบข้อร้องเรียนความเสี่ยง</t>
        </is>
      </c>
      <c r="B67" s="14" t="inlineStr">
        <is>
          <t>ราย</t>
        </is>
      </c>
      <c r="C67" s="86" t="inlineStr">
        <is>
          <t>เหมา</t>
        </is>
      </c>
      <c r="D67" s="319" t="n">
        <v>8.58</v>
      </c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  <c r="AA67" s="29" t="n"/>
      <c r="AB67" s="29" t="n"/>
      <c r="AC67" s="29" t="n"/>
      <c r="AD67" s="29" t="n"/>
      <c r="AE67" s="29" t="n"/>
      <c r="AF67" s="29" t="n"/>
      <c r="AG67" s="29" t="n"/>
      <c r="AH67" s="29" t="n"/>
      <c r="AI67" s="29" t="n"/>
      <c r="AJ67" s="5">
        <f>SUM(E67:AI67)</f>
        <v/>
      </c>
      <c r="AK67" s="5">
        <f>AJ67*D67</f>
        <v/>
      </c>
    </row>
    <row r="68" ht="25" customHeight="1">
      <c r="A68" s="16" t="inlineStr">
        <is>
          <t>4. การบริหารจัดการความเสี่ยงกับผู้รับบริการ</t>
        </is>
      </c>
      <c r="B68" s="15" t="inlineStr">
        <is>
          <t>ครั้ง</t>
        </is>
      </c>
      <c r="C68" s="96" t="inlineStr">
        <is>
          <t>เหมา</t>
        </is>
      </c>
      <c r="D68" s="724" t="n">
        <v>4.29</v>
      </c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n"/>
      <c r="AA68" s="32" t="n"/>
      <c r="AB68" s="32" t="n"/>
      <c r="AC68" s="32" t="n"/>
      <c r="AD68" s="32" t="n"/>
      <c r="AE68" s="32" t="n"/>
      <c r="AF68" s="32" t="n"/>
      <c r="AG68" s="32" t="n"/>
      <c r="AH68" s="32" t="n"/>
      <c r="AI68" s="32" t="n"/>
      <c r="AJ68" s="33">
        <f>SUM(E68:AI68)</f>
        <v/>
      </c>
      <c r="AK68" s="33">
        <f>AJ68*D68</f>
        <v/>
      </c>
    </row>
    <row r="69" ht="25" customHeight="1">
      <c r="A69" s="321" t="inlineStr">
        <is>
          <t>การจัดโครงการในโรงพยาบาล</t>
        </is>
      </c>
      <c r="B69" s="98" t="n"/>
      <c r="C69" s="99" t="n"/>
      <c r="D69" s="99" t="n"/>
      <c r="E69" s="303" t="n"/>
      <c r="F69" s="303" t="n"/>
      <c r="G69" s="303" t="n"/>
      <c r="H69" s="303" t="n"/>
      <c r="I69" s="303" t="n"/>
      <c r="J69" s="303" t="n"/>
      <c r="K69" s="303" t="n"/>
      <c r="L69" s="303" t="n"/>
      <c r="M69" s="303" t="n"/>
      <c r="N69" s="303" t="n"/>
      <c r="O69" s="303" t="n"/>
      <c r="P69" s="303" t="n"/>
      <c r="Q69" s="303" t="n"/>
      <c r="R69" s="303" t="n"/>
      <c r="S69" s="303" t="n"/>
      <c r="T69" s="303" t="n"/>
      <c r="U69" s="303" t="n"/>
      <c r="V69" s="303" t="n"/>
      <c r="W69" s="303" t="n"/>
      <c r="X69" s="303" t="n"/>
      <c r="Y69" s="303" t="n"/>
      <c r="Z69" s="303" t="n"/>
      <c r="AA69" s="303" t="n"/>
      <c r="AB69" s="303" t="n"/>
      <c r="AC69" s="303" t="n"/>
      <c r="AD69" s="303" t="n"/>
      <c r="AE69" s="303" t="n"/>
      <c r="AF69" s="303" t="n"/>
      <c r="AG69" s="303" t="n"/>
      <c r="AH69" s="303" t="n"/>
      <c r="AI69" s="303" t="n"/>
      <c r="AJ69" s="304" t="n"/>
      <c r="AK69" s="305" t="n"/>
    </row>
    <row r="70" ht="25" customHeight="1">
      <c r="A70" s="101" t="inlineStr">
        <is>
          <t>1. การจัดทำโครงการ</t>
        </is>
      </c>
      <c r="B70" s="102" t="n"/>
      <c r="C70" s="103" t="n"/>
      <c r="D70" s="103" t="n"/>
      <c r="E70" s="693" t="n"/>
      <c r="F70" s="693" t="n"/>
      <c r="G70" s="693" t="n"/>
      <c r="H70" s="693" t="n"/>
      <c r="I70" s="693" t="n"/>
      <c r="J70" s="693" t="n"/>
      <c r="K70" s="693" t="n"/>
      <c r="L70" s="693" t="n"/>
      <c r="M70" s="693" t="n"/>
      <c r="N70" s="693" t="n"/>
      <c r="O70" s="693" t="n"/>
      <c r="P70" s="693" t="n"/>
      <c r="Q70" s="693" t="n"/>
      <c r="R70" s="693" t="n"/>
      <c r="S70" s="693" t="n"/>
      <c r="T70" s="693" t="n"/>
      <c r="U70" s="693" t="n"/>
      <c r="V70" s="693" t="n"/>
      <c r="W70" s="693" t="n"/>
      <c r="X70" s="693" t="n"/>
      <c r="Y70" s="693" t="n"/>
      <c r="Z70" s="693" t="n"/>
      <c r="AA70" s="693" t="n"/>
      <c r="AB70" s="693" t="n"/>
      <c r="AC70" s="693" t="n"/>
      <c r="AD70" s="693" t="n"/>
      <c r="AE70" s="693" t="n"/>
      <c r="AF70" s="693" t="n"/>
      <c r="AG70" s="693" t="n"/>
      <c r="AH70" s="693" t="n"/>
      <c r="AI70" s="693" t="n"/>
      <c r="AJ70" s="45" t="n"/>
      <c r="AK70" s="46" t="n"/>
    </row>
    <row r="71" ht="50" customHeight="1">
      <c r="A71" s="16" t="inlineStr">
        <is>
          <t>- โครงการผ่านอนุมัติดำเนินการ (กรุณาระบุหมายเหตุโครงการ ให้คะแนน 1 โครงการ : 1 ครั้ง)</t>
        </is>
      </c>
      <c r="B71" s="104" t="inlineStr">
        <is>
          <t>ครั้ง</t>
        </is>
      </c>
      <c r="C71" s="104" t="inlineStr">
        <is>
          <t>เหมา</t>
        </is>
      </c>
      <c r="D71" s="322" t="n">
        <v>60.06</v>
      </c>
      <c r="E71" s="323" t="n"/>
      <c r="F71" s="323" t="n"/>
      <c r="G71" s="323" t="n"/>
      <c r="H71" s="323" t="n"/>
      <c r="I71" s="323" t="n"/>
      <c r="J71" s="323" t="n"/>
      <c r="K71" s="323" t="n"/>
      <c r="L71" s="323" t="n"/>
      <c r="M71" s="323" t="n"/>
      <c r="N71" s="323" t="n"/>
      <c r="O71" s="323" t="n"/>
      <c r="P71" s="323" t="n"/>
      <c r="Q71" s="323" t="n"/>
      <c r="R71" s="323" t="n"/>
      <c r="S71" s="323" t="n"/>
      <c r="T71" s="323" t="n"/>
      <c r="U71" s="323" t="n"/>
      <c r="V71" s="323" t="n"/>
      <c r="W71" s="323" t="n"/>
      <c r="X71" s="323" t="n"/>
      <c r="Y71" s="323" t="n"/>
      <c r="Z71" s="323" t="n"/>
      <c r="AA71" s="323" t="n"/>
      <c r="AB71" s="323" t="n"/>
      <c r="AC71" s="323" t="n"/>
      <c r="AD71" s="323" t="n"/>
      <c r="AE71" s="323" t="n"/>
      <c r="AF71" s="323" t="n"/>
      <c r="AG71" s="323" t="n"/>
      <c r="AH71" s="323" t="n"/>
      <c r="AI71" s="323" t="n"/>
      <c r="AJ71" s="105">
        <f>SUM(E71:AI71)</f>
        <v/>
      </c>
      <c r="AK71" s="105">
        <f>AJ71*D71</f>
        <v/>
      </c>
    </row>
    <row r="72" ht="25" customHeight="1">
      <c r="A72" s="101" t="inlineStr">
        <is>
          <t>2. วันที่ดำเนินโครงการ/กิจกรรม</t>
        </is>
      </c>
      <c r="B72" s="106" t="n"/>
      <c r="C72" s="107" t="n"/>
      <c r="D72" s="107" t="n"/>
      <c r="E72" s="693" t="n"/>
      <c r="F72" s="693" t="n"/>
      <c r="G72" s="693" t="n"/>
      <c r="H72" s="693" t="n"/>
      <c r="I72" s="693" t="n"/>
      <c r="J72" s="693" t="n"/>
      <c r="K72" s="693" t="n"/>
      <c r="L72" s="693" t="n"/>
      <c r="M72" s="693" t="n"/>
      <c r="N72" s="693" t="n"/>
      <c r="O72" s="693" t="n"/>
      <c r="P72" s="693" t="n"/>
      <c r="Q72" s="693" t="n"/>
      <c r="R72" s="693" t="n"/>
      <c r="S72" s="693" t="n"/>
      <c r="T72" s="693" t="n"/>
      <c r="U72" s="693" t="n"/>
      <c r="V72" s="693" t="n"/>
      <c r="W72" s="693" t="n"/>
      <c r="X72" s="693" t="n"/>
      <c r="Y72" s="693" t="n"/>
      <c r="Z72" s="693" t="n"/>
      <c r="AA72" s="693" t="n"/>
      <c r="AB72" s="693" t="n"/>
      <c r="AC72" s="693" t="n"/>
      <c r="AD72" s="693" t="n"/>
      <c r="AE72" s="693" t="n"/>
      <c r="AF72" s="693" t="n"/>
      <c r="AG72" s="693" t="n"/>
      <c r="AH72" s="693" t="n"/>
      <c r="AI72" s="693" t="n"/>
      <c r="AJ72" s="45" t="n"/>
      <c r="AK72" s="46" t="n"/>
    </row>
    <row r="73" ht="50" customHeight="1">
      <c r="A73" s="16" t="inlineStr">
        <is>
          <t>- Project manager (กรุณาระบุหมายเหตุโครงการ สามารถเก็บคะแนนได้ตามจำนวนวันที่ปฏิบัติจริง)</t>
        </is>
      </c>
      <c r="B73" s="108" t="inlineStr">
        <is>
          <t>ครั้ง</t>
        </is>
      </c>
      <c r="C73" s="108" t="inlineStr">
        <is>
          <t>เหมา</t>
        </is>
      </c>
      <c r="D73" s="298" t="n">
        <v>60.06</v>
      </c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  <c r="AA73" s="49" t="n"/>
      <c r="AB73" s="49" t="n"/>
      <c r="AC73" s="49" t="n"/>
      <c r="AD73" s="49" t="n"/>
      <c r="AE73" s="49" t="n"/>
      <c r="AF73" s="49" t="n"/>
      <c r="AG73" s="49" t="n"/>
      <c r="AH73" s="49" t="n"/>
      <c r="AI73" s="49" t="n"/>
      <c r="AJ73" s="50">
        <f>SUM(E73:AI73)</f>
        <v/>
      </c>
      <c r="AK73" s="50">
        <f>AJ73*D73</f>
        <v/>
      </c>
    </row>
    <row r="74" ht="50" customHeight="1">
      <c r="A74" s="16" t="inlineStr">
        <is>
          <t>- Member (กรุณาระบุหมายเหตุโครงการ สามารถเก็บคะแนนได้ตามจำนวนวันที่ปฏิบัติจริง)</t>
        </is>
      </c>
      <c r="B74" s="18" t="inlineStr">
        <is>
          <t>ครั้ง</t>
        </is>
      </c>
      <c r="C74" s="18" t="inlineStr">
        <is>
          <t>เหมา</t>
        </is>
      </c>
      <c r="D74" s="324" t="n">
        <v>30.03</v>
      </c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  <c r="AA74" s="32" t="n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3">
        <f>SUM(E74:AI74)</f>
        <v/>
      </c>
      <c r="AK74" s="33">
        <f>AJ74*D74</f>
        <v/>
      </c>
    </row>
    <row r="75" ht="25" customHeight="1">
      <c r="A75" s="101" t="inlineStr">
        <is>
          <t>3. สรุปผลการดำเนินโครงการ</t>
        </is>
      </c>
      <c r="B75" s="102" t="n"/>
      <c r="C75" s="103" t="n"/>
      <c r="D75" s="103" t="n"/>
      <c r="E75" s="693" t="n"/>
      <c r="F75" s="693" t="n"/>
      <c r="G75" s="693" t="n"/>
      <c r="H75" s="693" t="n"/>
      <c r="I75" s="693" t="n"/>
      <c r="J75" s="693" t="n"/>
      <c r="K75" s="693" t="n"/>
      <c r="L75" s="693" t="n"/>
      <c r="M75" s="693" t="n"/>
      <c r="N75" s="693" t="n"/>
      <c r="O75" s="693" t="n"/>
      <c r="P75" s="693" t="n"/>
      <c r="Q75" s="693" t="n"/>
      <c r="R75" s="693" t="n"/>
      <c r="S75" s="693" t="n"/>
      <c r="T75" s="693" t="n"/>
      <c r="U75" s="693" t="n"/>
      <c r="V75" s="693" t="n"/>
      <c r="W75" s="693" t="n"/>
      <c r="X75" s="693" t="n"/>
      <c r="Y75" s="693" t="n"/>
      <c r="Z75" s="693" t="n"/>
      <c r="AA75" s="693" t="n"/>
      <c r="AB75" s="693" t="n"/>
      <c r="AC75" s="693" t="n"/>
      <c r="AD75" s="693" t="n"/>
      <c r="AE75" s="693" t="n"/>
      <c r="AF75" s="693" t="n"/>
      <c r="AG75" s="693" t="n"/>
      <c r="AH75" s="693" t="n"/>
      <c r="AI75" s="693" t="n"/>
      <c r="AJ75" s="45" t="n"/>
      <c r="AK75" s="46" t="n"/>
    </row>
    <row r="76" ht="50" customHeight="1">
      <c r="A76" s="16" t="inlineStr">
        <is>
          <t>- สรุปผลการดำเนินโครงการ (กรุณาระบุหมายเหตุโครงการ ให้คะแนน 1 โครงการ : 1 ครั้ง)</t>
        </is>
      </c>
      <c r="B76" s="104" t="inlineStr">
        <is>
          <t>ครั้ง</t>
        </is>
      </c>
      <c r="C76" s="104" t="inlineStr">
        <is>
          <t>เหมา</t>
        </is>
      </c>
      <c r="D76" s="322" t="n">
        <v>60.06</v>
      </c>
      <c r="E76" s="323" t="n"/>
      <c r="F76" s="323" t="n"/>
      <c r="G76" s="323" t="n"/>
      <c r="H76" s="323" t="n"/>
      <c r="I76" s="323" t="n"/>
      <c r="J76" s="323" t="n"/>
      <c r="K76" s="323" t="n"/>
      <c r="L76" s="323" t="n"/>
      <c r="M76" s="323" t="n"/>
      <c r="N76" s="323" t="n"/>
      <c r="O76" s="323" t="n"/>
      <c r="P76" s="323" t="n"/>
      <c r="Q76" s="323" t="n"/>
      <c r="R76" s="323" t="n"/>
      <c r="S76" s="323" t="n"/>
      <c r="T76" s="323" t="n"/>
      <c r="U76" s="323" t="n"/>
      <c r="V76" s="323" t="n"/>
      <c r="W76" s="323" t="n"/>
      <c r="X76" s="323" t="n"/>
      <c r="Y76" s="323" t="n"/>
      <c r="Z76" s="323" t="n"/>
      <c r="AA76" s="323" t="n"/>
      <c r="AB76" s="323" t="n"/>
      <c r="AC76" s="323" t="n"/>
      <c r="AD76" s="323" t="n"/>
      <c r="AE76" s="323" t="n"/>
      <c r="AF76" s="323" t="n"/>
      <c r="AG76" s="323" t="n"/>
      <c r="AH76" s="323" t="n"/>
      <c r="AI76" s="323" t="n"/>
      <c r="AJ76" s="105">
        <f>SUM(E76:AI76)</f>
        <v/>
      </c>
      <c r="AK76" s="105">
        <f>AJ76*D76</f>
        <v/>
      </c>
    </row>
    <row r="77" ht="25" customHeight="1">
      <c r="A77" s="325" t="inlineStr">
        <is>
          <t xml:space="preserve">ตรวจสอบ/ช่วยลงคะแนน P4P </t>
        </is>
      </c>
      <c r="B77" s="109" t="n"/>
      <c r="C77" s="110" t="n"/>
      <c r="D77" s="110" t="n"/>
      <c r="E77" s="693" t="n"/>
      <c r="F77" s="693" t="n"/>
      <c r="G77" s="693" t="n"/>
      <c r="H77" s="693" t="n"/>
      <c r="I77" s="693" t="n"/>
      <c r="J77" s="693" t="n"/>
      <c r="K77" s="693" t="n"/>
      <c r="L77" s="693" t="n"/>
      <c r="M77" s="693" t="n"/>
      <c r="N77" s="693" t="n"/>
      <c r="O77" s="693" t="n"/>
      <c r="P77" s="693" t="n"/>
      <c r="Q77" s="693" t="n"/>
      <c r="R77" s="693" t="n"/>
      <c r="S77" s="693" t="n"/>
      <c r="T77" s="693" t="n"/>
      <c r="U77" s="693" t="n"/>
      <c r="V77" s="693" t="n"/>
      <c r="W77" s="693" t="n"/>
      <c r="X77" s="693" t="n"/>
      <c r="Y77" s="693" t="n"/>
      <c r="Z77" s="693" t="n"/>
      <c r="AA77" s="693" t="n"/>
      <c r="AB77" s="693" t="n"/>
      <c r="AC77" s="693" t="n"/>
      <c r="AD77" s="693" t="n"/>
      <c r="AE77" s="693" t="n"/>
      <c r="AF77" s="693" t="n"/>
      <c r="AG77" s="693" t="n"/>
      <c r="AH77" s="693" t="n"/>
      <c r="AI77" s="693" t="n"/>
      <c r="AJ77" s="45" t="n"/>
      <c r="AK77" s="46" t="n"/>
    </row>
    <row r="78" ht="25" customHeight="1">
      <c r="A78" s="111" t="inlineStr">
        <is>
          <t>1. ตราวจสอบจำนวน 1 - 10 ราย</t>
        </is>
      </c>
      <c r="B78" s="92" t="inlineStr">
        <is>
          <t>เดือน</t>
        </is>
      </c>
      <c r="C78" s="71" t="inlineStr">
        <is>
          <t>เหมา</t>
        </is>
      </c>
      <c r="D78" s="326" t="n">
        <v>100</v>
      </c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  <c r="AA78" s="49" t="n"/>
      <c r="AB78" s="49" t="n"/>
      <c r="AC78" s="49" t="n"/>
      <c r="AD78" s="49" t="n"/>
      <c r="AE78" s="49" t="n"/>
      <c r="AF78" s="49" t="n"/>
      <c r="AG78" s="49" t="n"/>
      <c r="AH78" s="49" t="n"/>
      <c r="AI78" s="49" t="n"/>
      <c r="AJ78" s="50">
        <f>SUM(E78:AI78)</f>
        <v/>
      </c>
      <c r="AK78" s="50">
        <f>AJ78*D78</f>
        <v/>
      </c>
    </row>
    <row r="79" ht="25" customHeight="1">
      <c r="A79" s="111" t="inlineStr">
        <is>
          <t>2. ตราวจสอบจำนวน 11 - 20 ราย</t>
        </is>
      </c>
      <c r="B79" s="86" t="inlineStr">
        <is>
          <t>เดือน</t>
        </is>
      </c>
      <c r="C79" s="73" t="inlineStr">
        <is>
          <t>เหมา</t>
        </is>
      </c>
      <c r="D79" s="327" t="n">
        <v>200</v>
      </c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  <c r="AA79" s="29" t="n"/>
      <c r="AB79" s="29" t="n"/>
      <c r="AC79" s="29" t="n"/>
      <c r="AD79" s="29" t="n"/>
      <c r="AE79" s="29" t="n"/>
      <c r="AF79" s="29" t="n"/>
      <c r="AG79" s="29" t="n"/>
      <c r="AH79" s="29" t="n"/>
      <c r="AI79" s="29" t="n"/>
      <c r="AJ79" s="5">
        <f>SUM(E79:AI79)</f>
        <v/>
      </c>
      <c r="AK79" s="5">
        <f>AJ79*D79</f>
        <v/>
      </c>
    </row>
    <row r="80" ht="25" customHeight="1">
      <c r="A80" s="111" t="inlineStr">
        <is>
          <t>3. ตราวจสอบจำนวน 21 - 30 ราย</t>
        </is>
      </c>
      <c r="B80" s="86" t="inlineStr">
        <is>
          <t>เดือน</t>
        </is>
      </c>
      <c r="C80" s="73" t="inlineStr">
        <is>
          <t>เหมา</t>
        </is>
      </c>
      <c r="D80" s="327" t="n">
        <v>300</v>
      </c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  <c r="AA80" s="29" t="n"/>
      <c r="AB80" s="29" t="n"/>
      <c r="AC80" s="29" t="n"/>
      <c r="AD80" s="29" t="n"/>
      <c r="AE80" s="29" t="n"/>
      <c r="AF80" s="29" t="n"/>
      <c r="AG80" s="29" t="n"/>
      <c r="AH80" s="29" t="n"/>
      <c r="AI80" s="29" t="n"/>
      <c r="AJ80" s="5">
        <f>SUM(E80:AI80)</f>
        <v/>
      </c>
      <c r="AK80" s="5">
        <f>AJ80*D80</f>
        <v/>
      </c>
    </row>
    <row r="81" ht="25" customHeight="1">
      <c r="A81" s="111" t="inlineStr">
        <is>
          <t>4. ตราวจสอบจำนวน 31 - 40 ราย</t>
        </is>
      </c>
      <c r="B81" s="86" t="inlineStr">
        <is>
          <t>เดือน</t>
        </is>
      </c>
      <c r="C81" s="73" t="inlineStr">
        <is>
          <t>เหมา</t>
        </is>
      </c>
      <c r="D81" s="327" t="n">
        <v>400</v>
      </c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  <c r="AA81" s="29" t="n"/>
      <c r="AB81" s="29" t="n"/>
      <c r="AC81" s="29" t="n"/>
      <c r="AD81" s="29" t="n"/>
      <c r="AE81" s="29" t="n"/>
      <c r="AF81" s="29" t="n"/>
      <c r="AG81" s="29" t="n"/>
      <c r="AH81" s="29" t="n"/>
      <c r="AI81" s="29" t="n"/>
      <c r="AJ81" s="5">
        <f>SUM(E81:AI81)</f>
        <v/>
      </c>
      <c r="AK81" s="5">
        <f>AJ81*D81</f>
        <v/>
      </c>
    </row>
    <row r="82" ht="25" customHeight="1">
      <c r="A82" s="111" t="inlineStr">
        <is>
          <t>5. ตราวจสอบจำนวนมากกว่า 40 ราย</t>
        </is>
      </c>
      <c r="B82" s="86" t="inlineStr">
        <is>
          <t>เดือน</t>
        </is>
      </c>
      <c r="C82" s="73" t="inlineStr">
        <is>
          <t>เหมา</t>
        </is>
      </c>
      <c r="D82" s="327" t="n">
        <v>500</v>
      </c>
      <c r="E82" s="29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  <c r="AA82" s="29" t="n"/>
      <c r="AB82" s="29" t="n"/>
      <c r="AC82" s="29" t="n"/>
      <c r="AD82" s="29" t="n"/>
      <c r="AE82" s="29" t="n"/>
      <c r="AF82" s="29" t="n"/>
      <c r="AG82" s="29" t="n"/>
      <c r="AH82" s="29" t="n"/>
      <c r="AI82" s="29" t="n"/>
      <c r="AJ82" s="5">
        <f>SUM(E82:AI82)</f>
        <v/>
      </c>
      <c r="AK82" s="5">
        <f>AJ82*D82</f>
        <v/>
      </c>
    </row>
    <row r="83" ht="25" customHeight="1">
      <c r="A83" s="16" t="inlineStr">
        <is>
          <t>6. ช่วยลงคะแนน P4P พนักงาน/ NA</t>
        </is>
      </c>
      <c r="B83" s="15" t="inlineStr">
        <is>
          <t>ราย</t>
        </is>
      </c>
      <c r="C83" s="96" t="inlineStr">
        <is>
          <t>เหมา</t>
        </is>
      </c>
      <c r="D83" s="724" t="n">
        <v>0.71</v>
      </c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  <c r="Y83" s="32" t="n"/>
      <c r="Z83" s="32" t="n"/>
      <c r="AA83" s="32" t="n"/>
      <c r="AB83" s="32" t="n"/>
      <c r="AC83" s="32" t="n"/>
      <c r="AD83" s="32" t="n"/>
      <c r="AE83" s="32" t="n"/>
      <c r="AF83" s="32" t="n"/>
      <c r="AG83" s="32" t="n"/>
      <c r="AH83" s="32" t="n"/>
      <c r="AI83" s="32" t="n"/>
      <c r="AJ83" s="33">
        <f>SUM(E83:AI83)</f>
        <v/>
      </c>
      <c r="AK83" s="33">
        <f>AJ83*D83</f>
        <v/>
      </c>
    </row>
    <row r="84" ht="25" customHeight="1">
      <c r="A84" s="328" t="inlineStr">
        <is>
          <t>คณะกรรมการตรวจสอบ P4P</t>
        </is>
      </c>
      <c r="B84" s="113" t="n"/>
      <c r="C84" s="114" t="n"/>
      <c r="D84" s="115" t="n"/>
      <c r="E84" s="693" t="n"/>
      <c r="F84" s="693" t="n"/>
      <c r="G84" s="693" t="n"/>
      <c r="H84" s="693" t="n"/>
      <c r="I84" s="693" t="n"/>
      <c r="J84" s="693" t="n"/>
      <c r="K84" s="693" t="n"/>
      <c r="L84" s="693" t="n"/>
      <c r="M84" s="693" t="n"/>
      <c r="N84" s="693" t="n"/>
      <c r="O84" s="693" t="n"/>
      <c r="P84" s="693" t="n"/>
      <c r="Q84" s="693" t="n"/>
      <c r="R84" s="693" t="n"/>
      <c r="S84" s="693" t="n"/>
      <c r="T84" s="693" t="n"/>
      <c r="U84" s="693" t="n"/>
      <c r="V84" s="693" t="n"/>
      <c r="W84" s="693" t="n"/>
      <c r="X84" s="693" t="n"/>
      <c r="Y84" s="693" t="n"/>
      <c r="Z84" s="693" t="n"/>
      <c r="AA84" s="693" t="n"/>
      <c r="AB84" s="693" t="n"/>
      <c r="AC84" s="693" t="n"/>
      <c r="AD84" s="693" t="n"/>
      <c r="AE84" s="693" t="n"/>
      <c r="AF84" s="693" t="n"/>
      <c r="AG84" s="693" t="n"/>
      <c r="AH84" s="693" t="n"/>
      <c r="AI84" s="693" t="n"/>
      <c r="AJ84" s="45" t="n"/>
      <c r="AK84" s="46" t="n"/>
    </row>
    <row r="85" ht="25" customHeight="1">
      <c r="A85" s="111" t="inlineStr">
        <is>
          <t>1. ตรวจสอบจำนวน 1 - 10 ราย</t>
        </is>
      </c>
      <c r="B85" s="92" t="inlineStr">
        <is>
          <t>เดือน</t>
        </is>
      </c>
      <c r="C85" s="71" t="inlineStr">
        <is>
          <t>เหมา</t>
        </is>
      </c>
      <c r="D85" s="326" t="n">
        <v>200</v>
      </c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  <c r="AA85" s="49" t="n"/>
      <c r="AB85" s="49" t="n"/>
      <c r="AC85" s="49" t="n"/>
      <c r="AD85" s="49" t="n"/>
      <c r="AE85" s="49" t="n"/>
      <c r="AF85" s="49" t="n"/>
      <c r="AG85" s="49" t="n"/>
      <c r="AH85" s="49" t="n"/>
      <c r="AI85" s="49" t="n"/>
      <c r="AJ85" s="50">
        <f>SUM(E85:AI85)</f>
        <v/>
      </c>
      <c r="AK85" s="50">
        <f>AJ85*D85</f>
        <v/>
      </c>
    </row>
    <row r="86" ht="25" customHeight="1">
      <c r="A86" s="111" t="inlineStr">
        <is>
          <t>2. ตรวจสอบจำนวน 11 - 20 ราย</t>
        </is>
      </c>
      <c r="B86" s="86" t="inlineStr">
        <is>
          <t>เดือน</t>
        </is>
      </c>
      <c r="C86" s="73" t="inlineStr">
        <is>
          <t>เหมา</t>
        </is>
      </c>
      <c r="D86" s="327" t="n">
        <v>300</v>
      </c>
      <c r="E86" s="29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  <c r="AA86" s="29" t="n"/>
      <c r="AB86" s="29" t="n"/>
      <c r="AC86" s="29" t="n"/>
      <c r="AD86" s="29" t="n"/>
      <c r="AE86" s="29" t="n"/>
      <c r="AF86" s="29" t="n"/>
      <c r="AG86" s="29" t="n"/>
      <c r="AH86" s="29" t="n"/>
      <c r="AI86" s="29" t="n"/>
      <c r="AJ86" s="5">
        <f>SUM(E86:AI86)</f>
        <v/>
      </c>
      <c r="AK86" s="5">
        <f>AJ86*D86</f>
        <v/>
      </c>
    </row>
    <row r="87" ht="25" customHeight="1">
      <c r="A87" s="111" t="inlineStr">
        <is>
          <t>3. ตรวจสอบจำนวน 21 - 30 ราย</t>
        </is>
      </c>
      <c r="B87" s="86" t="inlineStr">
        <is>
          <t>เดือน</t>
        </is>
      </c>
      <c r="C87" s="73" t="inlineStr">
        <is>
          <t>เหมา</t>
        </is>
      </c>
      <c r="D87" s="327" t="n">
        <v>400</v>
      </c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  <c r="AA87" s="29" t="n"/>
      <c r="AB87" s="29" t="n"/>
      <c r="AC87" s="29" t="n"/>
      <c r="AD87" s="29" t="n"/>
      <c r="AE87" s="29" t="n"/>
      <c r="AF87" s="29" t="n"/>
      <c r="AG87" s="29" t="n"/>
      <c r="AH87" s="29" t="n"/>
      <c r="AI87" s="29" t="n"/>
      <c r="AJ87" s="5">
        <f>SUM(E87:AI87)</f>
        <v/>
      </c>
      <c r="AK87" s="5">
        <f>AJ87*D87</f>
        <v/>
      </c>
    </row>
    <row r="88" ht="25" customHeight="1">
      <c r="A88" s="111" t="inlineStr">
        <is>
          <t>4. ตรวจสอบจำนวน 31 - 40 ราย</t>
        </is>
      </c>
      <c r="B88" s="86" t="inlineStr">
        <is>
          <t>เดือน</t>
        </is>
      </c>
      <c r="C88" s="73" t="inlineStr">
        <is>
          <t>เหมา</t>
        </is>
      </c>
      <c r="D88" s="327" t="n">
        <v>500</v>
      </c>
      <c r="E88" s="29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  <c r="AA88" s="29" t="n"/>
      <c r="AB88" s="29" t="n"/>
      <c r="AC88" s="29" t="n"/>
      <c r="AD88" s="29" t="n"/>
      <c r="AE88" s="29" t="n"/>
      <c r="AF88" s="29" t="n"/>
      <c r="AG88" s="29" t="n"/>
      <c r="AH88" s="29" t="n"/>
      <c r="AI88" s="29" t="n"/>
      <c r="AJ88" s="5">
        <f>SUM(E88:AI88)</f>
        <v/>
      </c>
      <c r="AK88" s="5">
        <f>AJ88*D88</f>
        <v/>
      </c>
    </row>
    <row r="89" ht="25" customHeight="1">
      <c r="A89" s="111" t="inlineStr">
        <is>
          <t>5. ตรวจสอบจำนวน 41 - 50 ราย</t>
        </is>
      </c>
      <c r="B89" s="86" t="inlineStr">
        <is>
          <t>เดือน</t>
        </is>
      </c>
      <c r="C89" s="73" t="inlineStr">
        <is>
          <t>เหมา</t>
        </is>
      </c>
      <c r="D89" s="327" t="n">
        <v>600</v>
      </c>
      <c r="E89" s="29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  <c r="AA89" s="29" t="n"/>
      <c r="AB89" s="29" t="n"/>
      <c r="AC89" s="29" t="n"/>
      <c r="AD89" s="29" t="n"/>
      <c r="AE89" s="29" t="n"/>
      <c r="AF89" s="29" t="n"/>
      <c r="AG89" s="29" t="n"/>
      <c r="AH89" s="29" t="n"/>
      <c r="AI89" s="29" t="n"/>
      <c r="AJ89" s="5">
        <f>SUM(E89:AI89)</f>
        <v/>
      </c>
      <c r="AK89" s="5">
        <f>AJ89*D89</f>
        <v/>
      </c>
    </row>
    <row r="90" ht="25" customHeight="1">
      <c r="A90" s="111" t="inlineStr">
        <is>
          <t>6. ตรวจสอบจำนวนมากกว่า 50 ราย</t>
        </is>
      </c>
      <c r="B90" s="60" t="inlineStr">
        <is>
          <t>เดือน</t>
        </is>
      </c>
      <c r="C90" s="61" t="inlineStr">
        <is>
          <t>เหมา</t>
        </is>
      </c>
      <c r="D90" s="329" t="n">
        <v>800</v>
      </c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n"/>
      <c r="Y90" s="32" t="n"/>
      <c r="Z90" s="32" t="n"/>
      <c r="AA90" s="32" t="n"/>
      <c r="AB90" s="32" t="n"/>
      <c r="AC90" s="32" t="n"/>
      <c r="AD90" s="32" t="n"/>
      <c r="AE90" s="32" t="n"/>
      <c r="AF90" s="32" t="n"/>
      <c r="AG90" s="32" t="n"/>
      <c r="AH90" s="32" t="n"/>
      <c r="AI90" s="32" t="n"/>
      <c r="AJ90" s="33">
        <f>SUM(E90:AI90)</f>
        <v/>
      </c>
      <c r="AK90" s="33">
        <f>AJ90*D90</f>
        <v/>
      </c>
    </row>
    <row r="91" ht="25" customHeight="1">
      <c r="A91" s="328" t="inlineStr">
        <is>
          <t>การฝึกระเบียบแถว</t>
        </is>
      </c>
      <c r="B91" s="113" t="n"/>
      <c r="C91" s="114" t="n"/>
      <c r="D91" s="117" t="n"/>
      <c r="E91" s="693" t="n"/>
      <c r="F91" s="693" t="n"/>
      <c r="G91" s="693" t="n"/>
      <c r="H91" s="693" t="n"/>
      <c r="I91" s="693" t="n"/>
      <c r="J91" s="693" t="n"/>
      <c r="K91" s="693" t="n"/>
      <c r="L91" s="693" t="n"/>
      <c r="M91" s="693" t="n"/>
      <c r="N91" s="693" t="n"/>
      <c r="O91" s="693" t="n"/>
      <c r="P91" s="693" t="n"/>
      <c r="Q91" s="693" t="n"/>
      <c r="R91" s="693" t="n"/>
      <c r="S91" s="693" t="n"/>
      <c r="T91" s="693" t="n"/>
      <c r="U91" s="693" t="n"/>
      <c r="V91" s="693" t="n"/>
      <c r="W91" s="693" t="n"/>
      <c r="X91" s="693" t="n"/>
      <c r="Y91" s="693" t="n"/>
      <c r="Z91" s="693" t="n"/>
      <c r="AA91" s="693" t="n"/>
      <c r="AB91" s="693" t="n"/>
      <c r="AC91" s="693" t="n"/>
      <c r="AD91" s="693" t="n"/>
      <c r="AE91" s="693" t="n"/>
      <c r="AF91" s="693" t="n"/>
      <c r="AG91" s="693" t="n"/>
      <c r="AH91" s="693" t="n"/>
      <c r="AI91" s="693" t="n"/>
      <c r="AJ91" s="45" t="n"/>
      <c r="AK91" s="46" t="n"/>
    </row>
    <row r="92" ht="25" customHeight="1">
      <c r="A92" s="16" t="inlineStr">
        <is>
          <t>1. แถวประจำสัปดาห์/เดือน</t>
        </is>
      </c>
      <c r="B92" s="47" t="inlineStr">
        <is>
          <t>ครั้ง</t>
        </is>
      </c>
      <c r="C92" s="118" t="inlineStr">
        <is>
          <t>เหมา</t>
        </is>
      </c>
      <c r="D92" s="330" t="n">
        <v>4.29</v>
      </c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  <c r="AA92" s="49" t="n"/>
      <c r="AB92" s="49" t="n"/>
      <c r="AC92" s="49" t="n"/>
      <c r="AD92" s="49" t="n"/>
      <c r="AE92" s="49" t="n"/>
      <c r="AF92" s="49" t="n"/>
      <c r="AG92" s="49" t="n"/>
      <c r="AH92" s="49" t="n"/>
      <c r="AI92" s="49" t="n"/>
      <c r="AJ92" s="50">
        <f>SUM(E92:AI92)</f>
        <v/>
      </c>
      <c r="AK92" s="50">
        <f>AJ92*D92</f>
        <v/>
      </c>
    </row>
    <row r="93" ht="25" customHeight="1">
      <c r="A93" s="16" t="inlineStr">
        <is>
          <t>2. ส่งแถวประจำสัปดาห์/เดือน</t>
        </is>
      </c>
      <c r="B93" s="30" t="inlineStr">
        <is>
          <t>ครั้ง</t>
        </is>
      </c>
      <c r="C93" s="119" t="inlineStr">
        <is>
          <t>เหมา</t>
        </is>
      </c>
      <c r="D93" s="724" t="n">
        <v>10</v>
      </c>
      <c r="E93" s="32" t="n"/>
      <c r="F93" s="32" t="n"/>
      <c r="G93" s="32" t="n"/>
      <c r="H93" s="32" t="n"/>
      <c r="I93" s="32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2" t="n"/>
      <c r="V93" s="32" t="n"/>
      <c r="W93" s="32" t="n"/>
      <c r="X93" s="32" t="n"/>
      <c r="Y93" s="32" t="n"/>
      <c r="Z93" s="32" t="n"/>
      <c r="AA93" s="32" t="n"/>
      <c r="AB93" s="32" t="n"/>
      <c r="AC93" s="32" t="n"/>
      <c r="AD93" s="32" t="n"/>
      <c r="AE93" s="32" t="n"/>
      <c r="AF93" s="32" t="n"/>
      <c r="AG93" s="32" t="n"/>
      <c r="AH93" s="32" t="n"/>
      <c r="AI93" s="32" t="n"/>
      <c r="AJ93" s="33">
        <f>SUM(E93:AI93)</f>
        <v/>
      </c>
      <c r="AK93" s="33">
        <f>AJ93*D93</f>
        <v/>
      </c>
    </row>
    <row r="94" ht="25" customHeight="1">
      <c r="A94" s="294" t="inlineStr">
        <is>
          <t>การบริหารจัดการในหน่วยงาน</t>
        </is>
      </c>
      <c r="B94" s="41" t="n"/>
      <c r="C94" s="43" t="n"/>
      <c r="D94" s="53" t="n"/>
      <c r="E94" s="693" t="n"/>
      <c r="F94" s="693" t="n"/>
      <c r="G94" s="693" t="n"/>
      <c r="H94" s="693" t="n"/>
      <c r="I94" s="693" t="n"/>
      <c r="J94" s="693" t="n"/>
      <c r="K94" s="693" t="n"/>
      <c r="L94" s="693" t="n"/>
      <c r="M94" s="693" t="n"/>
      <c r="N94" s="693" t="n"/>
      <c r="O94" s="693" t="n"/>
      <c r="P94" s="693" t="n"/>
      <c r="Q94" s="693" t="n"/>
      <c r="R94" s="693" t="n"/>
      <c r="S94" s="693" t="n"/>
      <c r="T94" s="693" t="n"/>
      <c r="U94" s="693" t="n"/>
      <c r="V94" s="693" t="n"/>
      <c r="W94" s="693" t="n"/>
      <c r="X94" s="693" t="n"/>
      <c r="Y94" s="693" t="n"/>
      <c r="Z94" s="693" t="n"/>
      <c r="AA94" s="693" t="n"/>
      <c r="AB94" s="693" t="n"/>
      <c r="AC94" s="693" t="n"/>
      <c r="AD94" s="693" t="n"/>
      <c r="AE94" s="693" t="n"/>
      <c r="AF94" s="693" t="n"/>
      <c r="AG94" s="693" t="n"/>
      <c r="AH94" s="693" t="n"/>
      <c r="AI94" s="693" t="n"/>
      <c r="AJ94" s="45" t="n"/>
      <c r="AK94" s="46" t="n"/>
    </row>
    <row r="95" ht="25" customHeight="1">
      <c r="A95" s="69" t="inlineStr">
        <is>
          <t>1. จัดทำบัญชีความเสี่ยง หรือ Service Profile</t>
        </is>
      </c>
      <c r="B95" s="120" t="inlineStr">
        <is>
          <t>ครั้ง</t>
        </is>
      </c>
      <c r="C95" s="120" t="n">
        <v>60</v>
      </c>
      <c r="D95" s="331">
        <f>C95*0.143</f>
        <v/>
      </c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  <c r="AA95" s="49" t="n"/>
      <c r="AB95" s="49" t="n"/>
      <c r="AC95" s="49" t="n"/>
      <c r="AD95" s="49" t="n"/>
      <c r="AE95" s="49" t="n"/>
      <c r="AF95" s="49" t="n"/>
      <c r="AG95" s="49" t="n"/>
      <c r="AH95" s="49" t="n"/>
      <c r="AI95" s="49" t="n"/>
      <c r="AJ95" s="50">
        <f>SUM(E95:AI95)</f>
        <v/>
      </c>
      <c r="AK95" s="50">
        <f>AJ95*D95</f>
        <v/>
      </c>
    </row>
    <row r="96" ht="25" customHeight="1">
      <c r="A96" s="74" t="inlineStr">
        <is>
          <t>2.  มอบหมายงานประจำวัน</t>
        </is>
      </c>
      <c r="B96" s="72" t="inlineStr">
        <is>
          <t>วัน</t>
        </is>
      </c>
      <c r="C96" s="14" t="inlineStr">
        <is>
          <t>เหมา</t>
        </is>
      </c>
      <c r="D96" s="319" t="n">
        <v>30</v>
      </c>
      <c r="E96" s="29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  <c r="AA96" s="29" t="n"/>
      <c r="AB96" s="29" t="n"/>
      <c r="AC96" s="29" t="n"/>
      <c r="AD96" s="29" t="n"/>
      <c r="AE96" s="29" t="n"/>
      <c r="AF96" s="29" t="n"/>
      <c r="AG96" s="29" t="n"/>
      <c r="AH96" s="29" t="n"/>
      <c r="AI96" s="29" t="n"/>
      <c r="AJ96" s="5">
        <f>SUM(E96:AI96)</f>
        <v/>
      </c>
      <c r="AK96" s="5">
        <f>AJ96*D96</f>
        <v/>
      </c>
    </row>
    <row r="97" ht="25" customHeight="1">
      <c r="A97" s="69" t="inlineStr">
        <is>
          <t>3. ตรวจสอบใบลา</t>
        </is>
      </c>
      <c r="B97" s="14" t="inlineStr">
        <is>
          <t>ราย</t>
        </is>
      </c>
      <c r="C97" s="14" t="inlineStr">
        <is>
          <t>เหมา</t>
        </is>
      </c>
      <c r="D97" s="8" t="n">
        <v>1</v>
      </c>
      <c r="E97" s="29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  <c r="AA97" s="29" t="n"/>
      <c r="AB97" s="29" t="n"/>
      <c r="AC97" s="29" t="n"/>
      <c r="AD97" s="29" t="n"/>
      <c r="AE97" s="29" t="n"/>
      <c r="AF97" s="29" t="n"/>
      <c r="AG97" s="29" t="n"/>
      <c r="AH97" s="29" t="n"/>
      <c r="AI97" s="29" t="n"/>
      <c r="AJ97" s="5">
        <f>SUM(E97:AI97)</f>
        <v/>
      </c>
      <c r="AK97" s="5">
        <f>AJ97*D97</f>
        <v/>
      </c>
    </row>
    <row r="98" ht="25" customHeight="1">
      <c r="A98" s="74" t="inlineStr">
        <is>
          <t>4. สร้าง/ปรับแบบฟอร์ม</t>
        </is>
      </c>
      <c r="B98" s="121" t="inlineStr">
        <is>
          <t>แบบฟอร์ม</t>
        </is>
      </c>
      <c r="C98" s="72" t="inlineStr">
        <is>
          <t>เหมา</t>
        </is>
      </c>
      <c r="D98" s="332" t="n">
        <v>30</v>
      </c>
      <c r="E98" s="29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  <c r="AA98" s="29" t="n"/>
      <c r="AB98" s="29" t="n"/>
      <c r="AC98" s="29" t="n"/>
      <c r="AD98" s="29" t="n"/>
      <c r="AE98" s="29" t="n"/>
      <c r="AF98" s="29" t="n"/>
      <c r="AG98" s="29" t="n"/>
      <c r="AH98" s="29" t="n"/>
      <c r="AI98" s="29" t="n"/>
      <c r="AJ98" s="5">
        <f>SUM(E98:AI98)</f>
        <v/>
      </c>
      <c r="AK98" s="5">
        <f>AJ98*D98</f>
        <v/>
      </c>
    </row>
    <row r="99" ht="25" customHeight="1">
      <c r="A99" s="69" t="inlineStr">
        <is>
          <t>5. ร่วมทีมตรวจเยี่ยม/รับการตรวจ ( นิเทศ HA/QA/Risk/5ส ฯลฯ)</t>
        </is>
      </c>
      <c r="B99" s="14" t="inlineStr">
        <is>
          <t>ครั้ง</t>
        </is>
      </c>
      <c r="C99" s="14" t="inlineStr">
        <is>
          <t>เหมา</t>
        </is>
      </c>
      <c r="D99" s="56" t="n">
        <v>8.58</v>
      </c>
      <c r="E99" s="29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  <c r="AA99" s="29" t="n"/>
      <c r="AB99" s="29" t="n"/>
      <c r="AC99" s="29" t="n"/>
      <c r="AD99" s="29" t="n"/>
      <c r="AE99" s="29" t="n"/>
      <c r="AF99" s="29" t="n"/>
      <c r="AG99" s="29" t="n"/>
      <c r="AH99" s="29" t="n"/>
      <c r="AI99" s="29" t="n"/>
      <c r="AJ99" s="5">
        <f>SUM(E99:AI99)</f>
        <v/>
      </c>
      <c r="AK99" s="5">
        <f>AJ99*D99</f>
        <v/>
      </c>
    </row>
    <row r="100" ht="25" customHeight="1">
      <c r="A100" s="74" t="inlineStr">
        <is>
          <t>6. เขียนใบขออนุมัติ/ส่งซ่อม</t>
        </is>
      </c>
      <c r="B100" s="72" t="inlineStr">
        <is>
          <t>ชุด</t>
        </is>
      </c>
      <c r="C100" s="123" t="inlineStr">
        <is>
          <t>เหมา</t>
        </is>
      </c>
      <c r="D100" s="319" t="n">
        <v>1.43</v>
      </c>
      <c r="E100" s="29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  <c r="AA100" s="29" t="n"/>
      <c r="AB100" s="29" t="n"/>
      <c r="AC100" s="29" t="n"/>
      <c r="AD100" s="29" t="n"/>
      <c r="AE100" s="29" t="n"/>
      <c r="AF100" s="29" t="n"/>
      <c r="AG100" s="29" t="n"/>
      <c r="AH100" s="29" t="n"/>
      <c r="AI100" s="29" t="n"/>
      <c r="AJ100" s="5">
        <f>SUM(E100:AI100)</f>
        <v/>
      </c>
      <c r="AK100" s="5">
        <f>AJ100*D100</f>
        <v/>
      </c>
    </row>
    <row r="101" ht="50" customHeight="1">
      <c r="A101" s="124" t="inlineStr">
        <is>
          <t xml:space="preserve">7. บันทึกข้อความซ่อมอุปกรณ์/เครื่องมือแพทย์ /บันทึกข้อความต่าง ๆ </t>
        </is>
      </c>
      <c r="B101" s="86" t="inlineStr">
        <is>
          <t xml:space="preserve">ครั้ง </t>
        </is>
      </c>
      <c r="C101" s="73" t="inlineStr">
        <is>
          <t>เหมา</t>
        </is>
      </c>
      <c r="D101" s="319" t="n">
        <v>1.43</v>
      </c>
      <c r="E101" s="29" t="n"/>
      <c r="F101" s="29" t="n"/>
      <c r="G101" s="29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29" t="n"/>
      <c r="W101" s="29" t="n"/>
      <c r="X101" s="29" t="n"/>
      <c r="Y101" s="29" t="n"/>
      <c r="Z101" s="29" t="n"/>
      <c r="AA101" s="29" t="n"/>
      <c r="AB101" s="29" t="n"/>
      <c r="AC101" s="29" t="n"/>
      <c r="AD101" s="29" t="n"/>
      <c r="AE101" s="29" t="n"/>
      <c r="AF101" s="29" t="n"/>
      <c r="AG101" s="29" t="n"/>
      <c r="AH101" s="29" t="n"/>
      <c r="AI101" s="29" t="n"/>
      <c r="AJ101" s="5">
        <f>SUM(E101:AI101)</f>
        <v/>
      </c>
      <c r="AK101" s="5">
        <f>AJ101*D101</f>
        <v/>
      </c>
    </row>
    <row r="102" ht="25" customHeight="1">
      <c r="A102" s="16" t="inlineStr">
        <is>
          <t>8. Admin ระบบ SPPH personnel</t>
        </is>
      </c>
      <c r="B102" s="41" t="inlineStr">
        <is>
          <t>เดือน</t>
        </is>
      </c>
      <c r="C102" s="82" t="inlineStr">
        <is>
          <t>เหมา</t>
        </is>
      </c>
      <c r="D102" s="56" t="n">
        <v>20</v>
      </c>
      <c r="E102" s="29" t="n"/>
      <c r="F102" s="29" t="n"/>
      <c r="G102" s="29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29" t="n"/>
      <c r="W102" s="29" t="n"/>
      <c r="X102" s="29" t="n"/>
      <c r="Y102" s="29" t="n"/>
      <c r="Z102" s="29" t="n"/>
      <c r="AA102" s="29" t="n"/>
      <c r="AB102" s="29" t="n"/>
      <c r="AC102" s="29" t="n"/>
      <c r="AD102" s="29" t="n"/>
      <c r="AE102" s="29" t="n"/>
      <c r="AF102" s="29" t="n"/>
      <c r="AG102" s="29" t="n"/>
      <c r="AH102" s="29" t="n"/>
      <c r="AI102" s="29" t="n"/>
      <c r="AJ102" s="5">
        <f>SUM(E102:AI102)</f>
        <v/>
      </c>
      <c r="AK102" s="5">
        <f>AJ102*D102</f>
        <v/>
      </c>
    </row>
    <row r="103" ht="25" customHeight="1">
      <c r="A103" s="16" t="inlineStr">
        <is>
          <t>9. Admin ระบบ smart conference</t>
        </is>
      </c>
      <c r="B103" s="41" t="inlineStr">
        <is>
          <t>เดือน</t>
        </is>
      </c>
      <c r="C103" s="82" t="inlineStr">
        <is>
          <t>เหมา</t>
        </is>
      </c>
      <c r="D103" s="56" t="n">
        <v>20</v>
      </c>
      <c r="E103" s="29" t="n"/>
      <c r="F103" s="29" t="n"/>
      <c r="G103" s="29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29" t="n"/>
      <c r="W103" s="29" t="n"/>
      <c r="X103" s="29" t="n"/>
      <c r="Y103" s="29" t="n"/>
      <c r="Z103" s="29" t="n"/>
      <c r="AA103" s="29" t="n"/>
      <c r="AB103" s="29" t="n"/>
      <c r="AC103" s="29" t="n"/>
      <c r="AD103" s="29" t="n"/>
      <c r="AE103" s="29" t="n"/>
      <c r="AF103" s="29" t="n"/>
      <c r="AG103" s="29" t="n"/>
      <c r="AH103" s="29" t="n"/>
      <c r="AI103" s="29" t="n"/>
      <c r="AJ103" s="5">
        <f>SUM(E103:AI103)</f>
        <v/>
      </c>
      <c r="AK103" s="5">
        <f>AJ103*D103</f>
        <v/>
      </c>
    </row>
    <row r="104" ht="25" customHeight="1">
      <c r="A104" s="16" t="inlineStr">
        <is>
          <t>10. Admin ระบบ P4P</t>
        </is>
      </c>
      <c r="B104" s="41" t="inlineStr">
        <is>
          <t>เดือน</t>
        </is>
      </c>
      <c r="C104" s="82" t="inlineStr">
        <is>
          <t>เหมา</t>
        </is>
      </c>
      <c r="D104" s="56" t="n">
        <v>20</v>
      </c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29" t="n"/>
      <c r="Y104" s="29" t="n"/>
      <c r="Z104" s="29" t="n"/>
      <c r="AA104" s="29" t="n"/>
      <c r="AB104" s="29" t="n"/>
      <c r="AC104" s="29" t="n"/>
      <c r="AD104" s="29" t="n"/>
      <c r="AE104" s="29" t="n"/>
      <c r="AF104" s="29" t="n"/>
      <c r="AG104" s="29" t="n"/>
      <c r="AH104" s="29" t="n"/>
      <c r="AI104" s="29" t="n"/>
      <c r="AJ104" s="5">
        <f>SUM(E104:AI104)</f>
        <v/>
      </c>
      <c r="AK104" s="5">
        <f>AJ104*D104</f>
        <v/>
      </c>
    </row>
    <row r="105" ht="25" customHeight="1">
      <c r="A105" s="125" t="inlineStr">
        <is>
          <t>11. การตรวจสอบ ลงนามหนังสือทั่วไป / รายงานสถิติ</t>
        </is>
      </c>
      <c r="B105" s="126" t="inlineStr">
        <is>
          <t>ฉบับ</t>
        </is>
      </c>
      <c r="C105" s="127" t="n">
        <v>10</v>
      </c>
      <c r="D105" s="333">
        <f>C105*0.143</f>
        <v/>
      </c>
      <c r="E105" s="32" t="n"/>
      <c r="F105" s="32" t="n"/>
      <c r="G105" s="32" t="n"/>
      <c r="H105" s="32" t="n"/>
      <c r="I105" s="32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2" t="n"/>
      <c r="V105" s="32" t="n"/>
      <c r="W105" s="32" t="n"/>
      <c r="X105" s="32" t="n"/>
      <c r="Y105" s="32" t="n"/>
      <c r="Z105" s="32" t="n"/>
      <c r="AA105" s="32" t="n"/>
      <c r="AB105" s="32" t="n"/>
      <c r="AC105" s="32" t="n"/>
      <c r="AD105" s="32" t="n"/>
      <c r="AE105" s="32" t="n"/>
      <c r="AF105" s="32" t="n"/>
      <c r="AG105" s="32" t="n"/>
      <c r="AH105" s="32" t="n"/>
      <c r="AI105" s="32" t="n"/>
      <c r="AJ105" s="33">
        <f>SUM(E105:AI105)</f>
        <v/>
      </c>
      <c r="AK105" s="33">
        <f>AJ105*D105</f>
        <v/>
      </c>
    </row>
    <row r="106" ht="25" customHeight="1">
      <c r="A106" s="294" t="inlineStr">
        <is>
          <t>วิชาการ</t>
        </is>
      </c>
      <c r="B106" s="109" t="n"/>
      <c r="C106" s="110" t="n"/>
      <c r="D106" s="110" t="n"/>
      <c r="E106" s="693" t="n"/>
      <c r="F106" s="693" t="n"/>
      <c r="G106" s="693" t="n"/>
      <c r="H106" s="693" t="n"/>
      <c r="I106" s="693" t="n"/>
      <c r="J106" s="693" t="n"/>
      <c r="K106" s="693" t="n"/>
      <c r="L106" s="693" t="n"/>
      <c r="M106" s="693" t="n"/>
      <c r="N106" s="693" t="n"/>
      <c r="O106" s="693" t="n"/>
      <c r="P106" s="693" t="n"/>
      <c r="Q106" s="693" t="n"/>
      <c r="R106" s="693" t="n"/>
      <c r="S106" s="693" t="n"/>
      <c r="T106" s="693" t="n"/>
      <c r="U106" s="693" t="n"/>
      <c r="V106" s="693" t="n"/>
      <c r="W106" s="693" t="n"/>
      <c r="X106" s="693" t="n"/>
      <c r="Y106" s="693" t="n"/>
      <c r="Z106" s="693" t="n"/>
      <c r="AA106" s="693" t="n"/>
      <c r="AB106" s="693" t="n"/>
      <c r="AC106" s="693" t="n"/>
      <c r="AD106" s="693" t="n"/>
      <c r="AE106" s="693" t="n"/>
      <c r="AF106" s="693" t="n"/>
      <c r="AG106" s="693" t="n"/>
      <c r="AH106" s="693" t="n"/>
      <c r="AI106" s="693" t="n"/>
      <c r="AJ106" s="45" t="n"/>
      <c r="AK106" s="46" t="n"/>
    </row>
    <row r="107" ht="25" customHeight="1">
      <c r="A107" s="130" t="inlineStr">
        <is>
          <t>1. การนำเสนอผลงาน (มีเอกสารประกอบ)</t>
        </is>
      </c>
      <c r="B107" s="92" t="inlineStr">
        <is>
          <t xml:space="preserve">ครั้ง </t>
        </is>
      </c>
      <c r="C107" s="92" t="inlineStr">
        <is>
          <t>เหมา</t>
        </is>
      </c>
      <c r="D107" s="318" t="n">
        <v>30</v>
      </c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  <c r="AA107" s="49" t="n"/>
      <c r="AB107" s="49" t="n"/>
      <c r="AC107" s="49" t="n"/>
      <c r="AD107" s="49" t="n"/>
      <c r="AE107" s="49" t="n"/>
      <c r="AF107" s="49" t="n"/>
      <c r="AG107" s="49" t="n"/>
      <c r="AH107" s="49" t="n"/>
      <c r="AI107" s="49" t="n"/>
      <c r="AJ107" s="50">
        <f>SUM(E107:AI107)</f>
        <v/>
      </c>
      <c r="AK107" s="50">
        <f>AJ107*D107</f>
        <v/>
      </c>
    </row>
    <row r="108" ht="25" customHeight="1">
      <c r="A108" s="131" t="inlineStr">
        <is>
          <t>2. การจัดทำคู่มือ แผ่นพับ</t>
        </is>
      </c>
      <c r="B108" s="30" t="inlineStr">
        <is>
          <t>เรื่อง</t>
        </is>
      </c>
      <c r="C108" s="31" t="inlineStr">
        <is>
          <t>เหมา</t>
        </is>
      </c>
      <c r="D108" s="309" t="n">
        <v>60</v>
      </c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2" t="n"/>
      <c r="V108" s="32" t="n"/>
      <c r="W108" s="32" t="n"/>
      <c r="X108" s="32" t="n"/>
      <c r="Y108" s="32" t="n"/>
      <c r="Z108" s="32" t="n"/>
      <c r="AA108" s="32" t="n"/>
      <c r="AB108" s="32" t="n"/>
      <c r="AC108" s="32" t="n"/>
      <c r="AD108" s="32" t="n"/>
      <c r="AE108" s="32" t="n"/>
      <c r="AF108" s="32" t="n"/>
      <c r="AG108" s="32" t="n"/>
      <c r="AH108" s="32" t="n"/>
      <c r="AI108" s="32" t="n"/>
      <c r="AJ108" s="33">
        <f>SUM(E108:AI108)</f>
        <v/>
      </c>
      <c r="AK108" s="33">
        <f>AJ108*D108</f>
        <v/>
      </c>
    </row>
    <row r="109" ht="25" customHeight="1">
      <c r="A109" s="132" t="inlineStr">
        <is>
          <t>3. การทำวิจัย</t>
        </is>
      </c>
      <c r="B109" s="133" t="n"/>
      <c r="C109" s="134" t="n"/>
      <c r="D109" s="134" t="n"/>
      <c r="E109" s="693" t="n"/>
      <c r="F109" s="693" t="n"/>
      <c r="G109" s="693" t="n"/>
      <c r="H109" s="693" t="n"/>
      <c r="I109" s="693" t="n"/>
      <c r="J109" s="693" t="n"/>
      <c r="K109" s="693" t="n"/>
      <c r="L109" s="693" t="n"/>
      <c r="M109" s="693" t="n"/>
      <c r="N109" s="693" t="n"/>
      <c r="O109" s="693" t="n"/>
      <c r="P109" s="693" t="n"/>
      <c r="Q109" s="693" t="n"/>
      <c r="R109" s="693" t="n"/>
      <c r="S109" s="693" t="n"/>
      <c r="T109" s="693" t="n"/>
      <c r="U109" s="693" t="n"/>
      <c r="V109" s="693" t="n"/>
      <c r="W109" s="693" t="n"/>
      <c r="X109" s="693" t="n"/>
      <c r="Y109" s="693" t="n"/>
      <c r="Z109" s="693" t="n"/>
      <c r="AA109" s="693" t="n"/>
      <c r="AB109" s="693" t="n"/>
      <c r="AC109" s="693" t="n"/>
      <c r="AD109" s="693" t="n"/>
      <c r="AE109" s="693" t="n"/>
      <c r="AF109" s="693" t="n"/>
      <c r="AG109" s="693" t="n"/>
      <c r="AH109" s="693" t="n"/>
      <c r="AI109" s="693" t="n"/>
      <c r="AJ109" s="45" t="n"/>
      <c r="AK109" s="46" t="n"/>
    </row>
    <row r="110" ht="25" customHeight="1">
      <c r="A110" s="74" t="inlineStr">
        <is>
          <t xml:space="preserve">  3.1 ผ่านหัวข้อ  Ethics</t>
        </is>
      </c>
      <c r="B110" s="92" t="inlineStr">
        <is>
          <t>เรื่อง</t>
        </is>
      </c>
      <c r="C110" s="92" t="inlineStr">
        <is>
          <t>เหมา</t>
        </is>
      </c>
      <c r="D110" s="318" t="n">
        <v>200</v>
      </c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  <c r="AA110" s="49" t="n"/>
      <c r="AB110" s="49" t="n"/>
      <c r="AC110" s="49" t="n"/>
      <c r="AD110" s="49" t="n"/>
      <c r="AE110" s="49" t="n"/>
      <c r="AF110" s="49" t="n"/>
      <c r="AG110" s="49" t="n"/>
      <c r="AH110" s="49" t="n"/>
      <c r="AI110" s="49" t="n"/>
      <c r="AJ110" s="50">
        <f>SUM(E110:AI110)</f>
        <v/>
      </c>
      <c r="AK110" s="50">
        <f>AJ110*D110</f>
        <v/>
      </c>
    </row>
    <row r="111" ht="25" customHeight="1">
      <c r="A111" s="74" t="inlineStr">
        <is>
          <t xml:space="preserve">  3.2 ผ่านเก็บข้อมูล</t>
        </is>
      </c>
      <c r="B111" s="86" t="inlineStr">
        <is>
          <t>เรื่อง</t>
        </is>
      </c>
      <c r="C111" s="86" t="inlineStr">
        <is>
          <t>เหมา</t>
        </is>
      </c>
      <c r="D111" s="319" t="n">
        <v>200</v>
      </c>
      <c r="E111" s="29" t="n"/>
      <c r="F111" s="29" t="n"/>
      <c r="G111" s="29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29" t="n"/>
      <c r="W111" s="29" t="n"/>
      <c r="X111" s="29" t="n"/>
      <c r="Y111" s="29" t="n"/>
      <c r="Z111" s="29" t="n"/>
      <c r="AA111" s="29" t="n"/>
      <c r="AB111" s="29" t="n"/>
      <c r="AC111" s="29" t="n"/>
      <c r="AD111" s="29" t="n"/>
      <c r="AE111" s="29" t="n"/>
      <c r="AF111" s="29" t="n"/>
      <c r="AG111" s="29" t="n"/>
      <c r="AH111" s="29" t="n"/>
      <c r="AI111" s="29" t="n"/>
      <c r="AJ111" s="5">
        <f>SUM(E111:AI111)</f>
        <v/>
      </c>
      <c r="AK111" s="5">
        <f>AJ111*D111</f>
        <v/>
      </c>
    </row>
    <row r="112" ht="25" customHeight="1">
      <c r="A112" s="74" t="inlineStr">
        <is>
          <t xml:space="preserve">  3.3 ผ่านแปลผลและวิเคราะห์</t>
        </is>
      </c>
      <c r="B112" s="86" t="inlineStr">
        <is>
          <t>เรื่อง</t>
        </is>
      </c>
      <c r="C112" s="86" t="inlineStr">
        <is>
          <t>เหมา</t>
        </is>
      </c>
      <c r="D112" s="319" t="n">
        <v>200</v>
      </c>
      <c r="E112" s="29" t="n"/>
      <c r="F112" s="29" t="n"/>
      <c r="G112" s="29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29" t="n"/>
      <c r="W112" s="29" t="n"/>
      <c r="X112" s="29" t="n"/>
      <c r="Y112" s="29" t="n"/>
      <c r="Z112" s="29" t="n"/>
      <c r="AA112" s="29" t="n"/>
      <c r="AB112" s="29" t="n"/>
      <c r="AC112" s="29" t="n"/>
      <c r="AD112" s="29" t="n"/>
      <c r="AE112" s="29" t="n"/>
      <c r="AF112" s="29" t="n"/>
      <c r="AG112" s="29" t="n"/>
      <c r="AH112" s="29" t="n"/>
      <c r="AI112" s="29" t="n"/>
      <c r="AJ112" s="5">
        <f>SUM(E112:AI112)</f>
        <v/>
      </c>
      <c r="AK112" s="5">
        <f>AJ112*D112</f>
        <v/>
      </c>
    </row>
    <row r="113" ht="25" customHeight="1">
      <c r="A113" s="74" t="inlineStr">
        <is>
          <t xml:space="preserve">  3.4 Full text</t>
        </is>
      </c>
      <c r="B113" s="86" t="inlineStr">
        <is>
          <t>เรื่อง</t>
        </is>
      </c>
      <c r="C113" s="86" t="inlineStr">
        <is>
          <t>เหมา</t>
        </is>
      </c>
      <c r="D113" s="319" t="n">
        <v>300</v>
      </c>
      <c r="E113" s="29" t="n"/>
      <c r="F113" s="29" t="n"/>
      <c r="G113" s="29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9" t="n"/>
      <c r="Z113" s="29" t="n"/>
      <c r="AA113" s="29" t="n"/>
      <c r="AB113" s="29" t="n"/>
      <c r="AC113" s="29" t="n"/>
      <c r="AD113" s="29" t="n"/>
      <c r="AE113" s="29" t="n"/>
      <c r="AF113" s="29" t="n"/>
      <c r="AG113" s="29" t="n"/>
      <c r="AH113" s="29" t="n"/>
      <c r="AI113" s="29" t="n"/>
      <c r="AJ113" s="5">
        <f>SUM(E113:AI113)</f>
        <v/>
      </c>
      <c r="AK113" s="5">
        <f>AJ113*D113</f>
        <v/>
      </c>
    </row>
    <row r="114" ht="25" customHeight="1">
      <c r="A114" s="74" t="inlineStr">
        <is>
          <t xml:space="preserve">  3.5 ตีพิมพ์</t>
        </is>
      </c>
      <c r="B114" s="86" t="inlineStr">
        <is>
          <t>เรื่อง</t>
        </is>
      </c>
      <c r="C114" s="86" t="inlineStr">
        <is>
          <t>เหมา</t>
        </is>
      </c>
      <c r="D114" s="319" t="n">
        <v>500</v>
      </c>
      <c r="E114" s="29" t="n"/>
      <c r="F114" s="29" t="n"/>
      <c r="G114" s="29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29" t="n"/>
      <c r="W114" s="29" t="n"/>
      <c r="X114" s="29" t="n"/>
      <c r="Y114" s="29" t="n"/>
      <c r="Z114" s="29" t="n"/>
      <c r="AA114" s="29" t="n"/>
      <c r="AB114" s="29" t="n"/>
      <c r="AC114" s="29" t="n"/>
      <c r="AD114" s="29" t="n"/>
      <c r="AE114" s="29" t="n"/>
      <c r="AF114" s="29" t="n"/>
      <c r="AG114" s="29" t="n"/>
      <c r="AH114" s="29" t="n"/>
      <c r="AI114" s="29" t="n"/>
      <c r="AJ114" s="5">
        <f>SUM(E114:AI114)</f>
        <v/>
      </c>
      <c r="AK114" s="5">
        <f>AJ114*D114</f>
        <v/>
      </c>
    </row>
    <row r="115" ht="25" customHeight="1">
      <c r="A115" s="74" t="inlineStr">
        <is>
          <t>4. การทำเอกสารคุณภาพ/ CQI/ นวัตกรรม</t>
        </is>
      </c>
      <c r="B115" s="86" t="inlineStr">
        <is>
          <t>เรื่อง</t>
        </is>
      </c>
      <c r="C115" s="86" t="inlineStr">
        <is>
          <t>เหมา</t>
        </is>
      </c>
      <c r="D115" s="332" t="n">
        <v>60</v>
      </c>
      <c r="E115" s="29" t="n"/>
      <c r="F115" s="29" t="n"/>
      <c r="G115" s="29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29" t="n"/>
      <c r="W115" s="29" t="n"/>
      <c r="X115" s="29" t="n"/>
      <c r="Y115" s="29" t="n"/>
      <c r="Z115" s="29" t="n"/>
      <c r="AA115" s="29" t="n"/>
      <c r="AB115" s="29" t="n"/>
      <c r="AC115" s="29" t="n"/>
      <c r="AD115" s="29" t="n"/>
      <c r="AE115" s="29" t="n"/>
      <c r="AF115" s="29" t="n"/>
      <c r="AG115" s="29" t="n"/>
      <c r="AH115" s="29" t="n"/>
      <c r="AI115" s="29" t="n"/>
      <c r="AJ115" s="5">
        <f>SUM(E115:AI115)</f>
        <v/>
      </c>
      <c r="AK115" s="5">
        <f>AJ115*D115</f>
        <v/>
      </c>
    </row>
    <row r="116" ht="25" customHeight="1">
      <c r="A116" s="74" t="inlineStr">
        <is>
          <t xml:space="preserve">5. วิเคราะห์ + สรุปผลงานประจำปี </t>
        </is>
      </c>
      <c r="B116" s="72" t="inlineStr">
        <is>
          <t xml:space="preserve">ครั้ง </t>
        </is>
      </c>
      <c r="C116" s="86" t="inlineStr">
        <is>
          <t>เหมา</t>
        </is>
      </c>
      <c r="D116" s="319" t="n">
        <v>60.06</v>
      </c>
      <c r="E116" s="29" t="n"/>
      <c r="F116" s="29" t="n"/>
      <c r="G116" s="29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29" t="n"/>
      <c r="W116" s="29" t="n"/>
      <c r="X116" s="29" t="n"/>
      <c r="Y116" s="29" t="n"/>
      <c r="Z116" s="29" t="n"/>
      <c r="AA116" s="29" t="n"/>
      <c r="AB116" s="29" t="n"/>
      <c r="AC116" s="29" t="n"/>
      <c r="AD116" s="29" t="n"/>
      <c r="AE116" s="29" t="n"/>
      <c r="AF116" s="29" t="n"/>
      <c r="AG116" s="29" t="n"/>
      <c r="AH116" s="29" t="n"/>
      <c r="AI116" s="29" t="n"/>
      <c r="AJ116" s="5">
        <f>SUM(E116:AI116)</f>
        <v/>
      </c>
      <c r="AK116" s="5">
        <f>AJ116*D116</f>
        <v/>
      </c>
    </row>
    <row r="117" ht="25" customHeight="1">
      <c r="A117" s="74" t="inlineStr">
        <is>
          <t xml:space="preserve">6. Clinical teaching </t>
        </is>
      </c>
      <c r="B117" s="73" t="inlineStr">
        <is>
          <t xml:space="preserve">ครั้ง </t>
        </is>
      </c>
      <c r="C117" s="86" t="inlineStr">
        <is>
          <t>เหมา</t>
        </is>
      </c>
      <c r="D117" s="319" t="n">
        <v>8.58</v>
      </c>
      <c r="E117" s="29" t="n"/>
      <c r="F117" s="29" t="n"/>
      <c r="G117" s="29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29" t="n"/>
      <c r="W117" s="29" t="n"/>
      <c r="X117" s="29" t="n"/>
      <c r="Y117" s="29" t="n"/>
      <c r="Z117" s="29" t="n"/>
      <c r="AA117" s="29" t="n"/>
      <c r="AB117" s="29" t="n"/>
      <c r="AC117" s="29" t="n"/>
      <c r="AD117" s="29" t="n"/>
      <c r="AE117" s="29" t="n"/>
      <c r="AF117" s="29" t="n"/>
      <c r="AG117" s="29" t="n"/>
      <c r="AH117" s="29" t="n"/>
      <c r="AI117" s="29" t="n"/>
      <c r="AJ117" s="5">
        <f>SUM(E117:AI117)</f>
        <v/>
      </c>
      <c r="AK117" s="5">
        <f>AJ117*D117</f>
        <v/>
      </c>
    </row>
    <row r="118" ht="25" customHeight="1">
      <c r="A118" s="74" t="inlineStr">
        <is>
          <t>7. ให้คำแนะนำนิสิตแพทย์</t>
        </is>
      </c>
      <c r="B118" s="73" t="inlineStr">
        <is>
          <t xml:space="preserve">ครั้ง </t>
        </is>
      </c>
      <c r="C118" s="86" t="inlineStr">
        <is>
          <t>เหมา</t>
        </is>
      </c>
      <c r="D118" s="319" t="n">
        <v>2.86</v>
      </c>
      <c r="E118" s="29" t="n"/>
      <c r="F118" s="29" t="n"/>
      <c r="G118" s="29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29" t="n"/>
      <c r="W118" s="29" t="n"/>
      <c r="X118" s="29" t="n"/>
      <c r="Y118" s="29" t="n"/>
      <c r="Z118" s="29" t="n"/>
      <c r="AA118" s="29" t="n"/>
      <c r="AB118" s="29" t="n"/>
      <c r="AC118" s="29" t="n"/>
      <c r="AD118" s="29" t="n"/>
      <c r="AE118" s="29" t="n"/>
      <c r="AF118" s="29" t="n"/>
      <c r="AG118" s="29" t="n"/>
      <c r="AH118" s="29" t="n"/>
      <c r="AI118" s="29" t="n"/>
      <c r="AJ118" s="5">
        <f>SUM(E118:AI118)</f>
        <v/>
      </c>
      <c r="AK118" s="5">
        <f>AJ118*D118</f>
        <v/>
      </c>
    </row>
    <row r="119" ht="25" customHeight="1">
      <c r="A119" s="74" t="inlineStr">
        <is>
          <t>8. นิเทศนักศึกษา /รับผู้ศึกษาดูงาน/ Orientate</t>
        </is>
      </c>
      <c r="B119" s="73" t="inlineStr">
        <is>
          <t xml:space="preserve">ครั้ง </t>
        </is>
      </c>
      <c r="C119" s="86" t="inlineStr">
        <is>
          <t>เหมา</t>
        </is>
      </c>
      <c r="D119" s="319" t="n">
        <v>8.58</v>
      </c>
      <c r="E119" s="29" t="n"/>
      <c r="F119" s="29" t="n"/>
      <c r="G119" s="29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29" t="n"/>
      <c r="AA119" s="29" t="n"/>
      <c r="AB119" s="29" t="n"/>
      <c r="AC119" s="29" t="n"/>
      <c r="AD119" s="29" t="n"/>
      <c r="AE119" s="29" t="n"/>
      <c r="AF119" s="29" t="n"/>
      <c r="AG119" s="29" t="n"/>
      <c r="AH119" s="29" t="n"/>
      <c r="AI119" s="29" t="n"/>
      <c r="AJ119" s="5">
        <f>SUM(E119:AI119)</f>
        <v/>
      </c>
      <c r="AK119" s="5">
        <f>AJ119*D119</f>
        <v/>
      </c>
    </row>
    <row r="120" ht="25" customHeight="1">
      <c r="A120" s="74" t="inlineStr">
        <is>
          <t>9. รับผู้ศึกษาดูงาน (ตามที่ได้รับมอบหมาย)</t>
        </is>
      </c>
      <c r="B120" s="135" t="inlineStr">
        <is>
          <t xml:space="preserve">ครั้ง </t>
        </is>
      </c>
      <c r="C120" s="60" t="inlineStr">
        <is>
          <t>เหมา</t>
        </is>
      </c>
      <c r="D120" s="320" t="n">
        <v>8.58</v>
      </c>
      <c r="E120" s="32" t="n"/>
      <c r="F120" s="32" t="n"/>
      <c r="G120" s="32" t="n"/>
      <c r="H120" s="32" t="n"/>
      <c r="I120" s="32" t="n"/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2" t="n"/>
      <c r="V120" s="32" t="n"/>
      <c r="W120" s="32" t="n"/>
      <c r="X120" s="32" t="n"/>
      <c r="Y120" s="32" t="n"/>
      <c r="Z120" s="32" t="n"/>
      <c r="AA120" s="32" t="n"/>
      <c r="AB120" s="32" t="n"/>
      <c r="AC120" s="32" t="n"/>
      <c r="AD120" s="32" t="n"/>
      <c r="AE120" s="32" t="n"/>
      <c r="AF120" s="32" t="n"/>
      <c r="AG120" s="32" t="n"/>
      <c r="AH120" s="32" t="n"/>
      <c r="AI120" s="32" t="n"/>
      <c r="AJ120" s="33">
        <f>SUM(E120:AI120)</f>
        <v/>
      </c>
      <c r="AK120" s="33">
        <f>AJ120*D120</f>
        <v/>
      </c>
    </row>
    <row r="121" ht="25" customHeight="1">
      <c r="A121" s="136" t="inlineStr">
        <is>
          <t>10. เป็นวิทยากรใน / นอกโรงพยาบาล</t>
        </is>
      </c>
      <c r="B121" s="137" t="n"/>
      <c r="C121" s="138" t="n"/>
      <c r="D121" s="138" t="n"/>
      <c r="E121" s="693" t="n"/>
      <c r="F121" s="693" t="n"/>
      <c r="G121" s="693" t="n"/>
      <c r="H121" s="693" t="n"/>
      <c r="I121" s="693" t="n"/>
      <c r="J121" s="693" t="n"/>
      <c r="K121" s="693" t="n"/>
      <c r="L121" s="693" t="n"/>
      <c r="M121" s="693" t="n"/>
      <c r="N121" s="693" t="n"/>
      <c r="O121" s="693" t="n"/>
      <c r="P121" s="693" t="n"/>
      <c r="Q121" s="693" t="n"/>
      <c r="R121" s="693" t="n"/>
      <c r="S121" s="693" t="n"/>
      <c r="T121" s="693" t="n"/>
      <c r="U121" s="693" t="n"/>
      <c r="V121" s="693" t="n"/>
      <c r="W121" s="693" t="n"/>
      <c r="X121" s="693" t="n"/>
      <c r="Y121" s="693" t="n"/>
      <c r="Z121" s="693" t="n"/>
      <c r="AA121" s="693" t="n"/>
      <c r="AB121" s="693" t="n"/>
      <c r="AC121" s="693" t="n"/>
      <c r="AD121" s="693" t="n"/>
      <c r="AE121" s="693" t="n"/>
      <c r="AF121" s="693" t="n"/>
      <c r="AG121" s="693" t="n"/>
      <c r="AH121" s="693" t="n"/>
      <c r="AI121" s="693" t="n"/>
      <c r="AJ121" s="45" t="n"/>
      <c r="AK121" s="46" t="n"/>
    </row>
    <row r="122" ht="25" customHeight="1">
      <c r="A122" s="139" t="inlineStr">
        <is>
          <t xml:space="preserve">    -  วิทยากร </t>
        </is>
      </c>
      <c r="B122" s="47" t="inlineStr">
        <is>
          <t xml:space="preserve">ครั้ง </t>
        </is>
      </c>
      <c r="C122" s="48" t="inlineStr">
        <is>
          <t>เหมา</t>
        </is>
      </c>
      <c r="D122" s="326" t="n">
        <v>30</v>
      </c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  <c r="AA122" s="49" t="n"/>
      <c r="AB122" s="49" t="n"/>
      <c r="AC122" s="49" t="n"/>
      <c r="AD122" s="49" t="n"/>
      <c r="AE122" s="49" t="n"/>
      <c r="AF122" s="49" t="n"/>
      <c r="AG122" s="49" t="n"/>
      <c r="AH122" s="49" t="n"/>
      <c r="AI122" s="49" t="n"/>
      <c r="AJ122" s="50">
        <f>SUM(E122:AI122)</f>
        <v/>
      </c>
      <c r="AK122" s="50">
        <f>AJ122*D122</f>
        <v/>
      </c>
    </row>
    <row r="123" ht="25" customHeight="1">
      <c r="A123" s="139" t="inlineStr">
        <is>
          <t xml:space="preserve">    -  ผู้ช่วยวิทยากร </t>
        </is>
      </c>
      <c r="B123" s="27" t="inlineStr">
        <is>
          <t xml:space="preserve">ครั้ง </t>
        </is>
      </c>
      <c r="C123" s="28" t="inlineStr">
        <is>
          <t>เหมา</t>
        </is>
      </c>
      <c r="D123" s="327" t="n">
        <v>15</v>
      </c>
      <c r="E123" s="29" t="n"/>
      <c r="F123" s="29" t="n"/>
      <c r="G123" s="29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29" t="n"/>
      <c r="W123" s="29" t="n"/>
      <c r="X123" s="29" t="n"/>
      <c r="Y123" s="29" t="n"/>
      <c r="Z123" s="29" t="n"/>
      <c r="AA123" s="29" t="n"/>
      <c r="AB123" s="29" t="n"/>
      <c r="AC123" s="29" t="n"/>
      <c r="AD123" s="29" t="n"/>
      <c r="AE123" s="29" t="n"/>
      <c r="AF123" s="29" t="n"/>
      <c r="AG123" s="29" t="n"/>
      <c r="AH123" s="29" t="n"/>
      <c r="AI123" s="29" t="n"/>
      <c r="AJ123" s="5">
        <f>SUM(E123:AI123)</f>
        <v/>
      </c>
      <c r="AK123" s="5">
        <f>AJ123*D123</f>
        <v/>
      </c>
    </row>
    <row r="124" ht="25" customHeight="1">
      <c r="A124" s="139" t="inlineStr">
        <is>
          <t xml:space="preserve">   -  บรรยายวิชาการนอกหน่วยงาน</t>
        </is>
      </c>
      <c r="B124" s="27" t="inlineStr">
        <is>
          <t xml:space="preserve">ครั้ง </t>
        </is>
      </c>
      <c r="C124" s="28" t="inlineStr">
        <is>
          <t>เหมา</t>
        </is>
      </c>
      <c r="D124" s="327" t="n">
        <v>30</v>
      </c>
      <c r="E124" s="29" t="n"/>
      <c r="F124" s="29" t="n"/>
      <c r="G124" s="29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29" t="n"/>
      <c r="W124" s="29" t="n"/>
      <c r="X124" s="29" t="n"/>
      <c r="Y124" s="29" t="n"/>
      <c r="Z124" s="29" t="n"/>
      <c r="AA124" s="29" t="n"/>
      <c r="AB124" s="29" t="n"/>
      <c r="AC124" s="29" t="n"/>
      <c r="AD124" s="29" t="n"/>
      <c r="AE124" s="29" t="n"/>
      <c r="AF124" s="29" t="n"/>
      <c r="AG124" s="29" t="n"/>
      <c r="AH124" s="29" t="n"/>
      <c r="AI124" s="29" t="n"/>
      <c r="AJ124" s="5">
        <f>SUM(E124:AI124)</f>
        <v/>
      </c>
      <c r="AK124" s="5">
        <f>AJ124*D124</f>
        <v/>
      </c>
    </row>
    <row r="125" ht="25" customHeight="1">
      <c r="A125" s="139" t="inlineStr">
        <is>
          <t xml:space="preserve">   -  เป็นพิธีกร </t>
        </is>
      </c>
      <c r="B125" s="27" t="inlineStr">
        <is>
          <t xml:space="preserve">ครั้ง </t>
        </is>
      </c>
      <c r="C125" s="28" t="inlineStr">
        <is>
          <t>เหมา</t>
        </is>
      </c>
      <c r="D125" s="327" t="n">
        <v>30</v>
      </c>
      <c r="E125" s="29" t="n"/>
      <c r="F125" s="29" t="n"/>
      <c r="G125" s="29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29" t="n"/>
      <c r="W125" s="29" t="n"/>
      <c r="X125" s="29" t="n"/>
      <c r="Y125" s="29" t="n"/>
      <c r="Z125" s="29" t="n"/>
      <c r="AA125" s="29" t="n"/>
      <c r="AB125" s="29" t="n"/>
      <c r="AC125" s="29" t="n"/>
      <c r="AD125" s="29" t="n"/>
      <c r="AE125" s="29" t="n"/>
      <c r="AF125" s="29" t="n"/>
      <c r="AG125" s="29" t="n"/>
      <c r="AH125" s="29" t="n"/>
      <c r="AI125" s="29" t="n"/>
      <c r="AJ125" s="5">
        <f>SUM(E125:AI125)</f>
        <v/>
      </c>
      <c r="AK125" s="5">
        <f>AJ125*D125</f>
        <v/>
      </c>
    </row>
    <row r="126" ht="25" customHeight="1">
      <c r="A126" s="69" t="inlineStr">
        <is>
          <t>11. C3 THER / 12 กิจกรรม / AAR</t>
        </is>
      </c>
      <c r="B126" s="14" t="inlineStr">
        <is>
          <t>ครั้ง</t>
        </is>
      </c>
      <c r="C126" s="72" t="inlineStr">
        <is>
          <t>เหมา</t>
        </is>
      </c>
      <c r="D126" s="56" t="n">
        <v>8.58</v>
      </c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  <c r="AA126" s="29" t="n"/>
      <c r="AB126" s="29" t="n"/>
      <c r="AC126" s="29" t="n"/>
      <c r="AD126" s="29" t="n"/>
      <c r="AE126" s="29" t="n"/>
      <c r="AF126" s="29" t="n"/>
      <c r="AG126" s="29" t="n"/>
      <c r="AH126" s="29" t="n"/>
      <c r="AI126" s="29" t="n"/>
      <c r="AJ126" s="5">
        <f>SUM(E126:AI126)</f>
        <v/>
      </c>
      <c r="AK126" s="5">
        <f>AJ126*D126</f>
        <v/>
      </c>
    </row>
    <row r="127" ht="25" customHeight="1">
      <c r="A127" s="336" t="inlineStr">
        <is>
          <t>บริการ</t>
        </is>
      </c>
      <c r="B127" s="779" t="n"/>
      <c r="C127" s="774" t="n"/>
      <c r="D127" s="774" t="n"/>
      <c r="E127" s="774" t="n"/>
      <c r="F127" s="774" t="n"/>
      <c r="G127" s="774" t="n"/>
      <c r="H127" s="774" t="n"/>
      <c r="I127" s="774" t="n"/>
      <c r="J127" s="774" t="n"/>
      <c r="K127" s="774" t="n"/>
      <c r="L127" s="774" t="n"/>
      <c r="M127" s="774" t="n"/>
      <c r="N127" s="774" t="n"/>
      <c r="O127" s="774" t="n"/>
      <c r="P127" s="774" t="n"/>
      <c r="Q127" s="774" t="n"/>
      <c r="R127" s="774" t="n"/>
      <c r="S127" s="774" t="n"/>
      <c r="T127" s="774" t="n"/>
      <c r="U127" s="774" t="n"/>
      <c r="V127" s="774" t="n"/>
      <c r="W127" s="774" t="n"/>
      <c r="X127" s="774" t="n"/>
      <c r="Y127" s="774" t="n"/>
      <c r="Z127" s="774" t="n"/>
      <c r="AA127" s="774" t="n"/>
      <c r="AB127" s="774" t="n"/>
      <c r="AC127" s="774" t="n"/>
      <c r="AD127" s="774" t="n"/>
      <c r="AE127" s="774" t="n"/>
      <c r="AF127" s="774" t="n"/>
      <c r="AG127" s="774" t="n"/>
      <c r="AH127" s="774" t="n"/>
      <c r="AI127" s="774" t="n"/>
      <c r="AJ127" s="774" t="n"/>
      <c r="AK127" s="767" t="n"/>
    </row>
    <row r="128">
      <c r="A128" s="337" t="inlineStr">
        <is>
          <t>งานธุรการ</t>
        </is>
      </c>
      <c r="B128" s="338" t="n"/>
      <c r="C128" s="339" t="n"/>
      <c r="D128" s="339" t="n"/>
      <c r="E128" s="339" t="n"/>
      <c r="F128" s="339" t="n"/>
      <c r="G128" s="339" t="n"/>
      <c r="H128" s="339" t="n"/>
      <c r="I128" s="339" t="n"/>
      <c r="J128" s="339" t="n"/>
      <c r="K128" s="339" t="n"/>
      <c r="L128" s="339" t="n"/>
      <c r="M128" s="339" t="n"/>
      <c r="N128" s="339" t="n"/>
      <c r="O128" s="339" t="n"/>
      <c r="P128" s="339" t="n"/>
      <c r="Q128" s="339" t="n"/>
      <c r="R128" s="339" t="n"/>
      <c r="S128" s="339" t="n"/>
      <c r="T128" s="339" t="n"/>
      <c r="U128" s="339" t="n"/>
      <c r="V128" s="339" t="n"/>
      <c r="W128" s="339" t="n"/>
      <c r="X128" s="339" t="n"/>
      <c r="Y128" s="339" t="n"/>
      <c r="Z128" s="339" t="n"/>
      <c r="AA128" s="339" t="n"/>
      <c r="AB128" s="339" t="n"/>
      <c r="AC128" s="339" t="n"/>
      <c r="AD128" s="339" t="n"/>
      <c r="AE128" s="339" t="n"/>
      <c r="AF128" s="339" t="n"/>
      <c r="AG128" s="339" t="n"/>
      <c r="AH128" s="339" t="n"/>
      <c r="AI128" s="339" t="n"/>
      <c r="AJ128" s="84" t="n"/>
      <c r="AK128" s="340" t="n"/>
    </row>
    <row r="129">
      <c r="A129" s="341" t="inlineStr">
        <is>
          <t>1. ลงทะเบียนประชุม ตามที่ได้รับมอบหมาย</t>
        </is>
      </c>
      <c r="B129" s="419" t="inlineStr">
        <is>
          <t>ครั้ง</t>
        </is>
      </c>
      <c r="C129" s="420" t="n">
        <v>30</v>
      </c>
      <c r="D129" s="256">
        <f>C129*0.143</f>
        <v/>
      </c>
      <c r="E129" s="421" t="n"/>
      <c r="F129" s="421" t="n"/>
      <c r="G129" s="421" t="n"/>
      <c r="H129" s="421" t="n"/>
      <c r="I129" s="421" t="n"/>
      <c r="J129" s="421" t="n"/>
      <c r="K129" s="421" t="n"/>
      <c r="L129" s="421" t="n"/>
      <c r="M129" s="421" t="n"/>
      <c r="N129" s="421" t="n"/>
      <c r="O129" s="421" t="n"/>
      <c r="P129" s="421" t="n"/>
      <c r="Q129" s="421" t="n"/>
      <c r="R129" s="421" t="n"/>
      <c r="S129" s="421" t="n"/>
      <c r="T129" s="421" t="n"/>
      <c r="U129" s="421" t="n"/>
      <c r="V129" s="421" t="n"/>
      <c r="W129" s="421" t="n"/>
      <c r="X129" s="421" t="n"/>
      <c r="Y129" s="421" t="n"/>
      <c r="Z129" s="421" t="n"/>
      <c r="AA129" s="421" t="n"/>
      <c r="AB129" s="421" t="n"/>
      <c r="AC129" s="421" t="n"/>
      <c r="AD129" s="421" t="n"/>
      <c r="AE129" s="421" t="n"/>
      <c r="AF129" s="421" t="n"/>
      <c r="AG129" s="422" t="n"/>
      <c r="AH129" s="221" t="n"/>
      <c r="AI129" s="423" t="n"/>
      <c r="AJ129" s="232">
        <f>SUM(E129:AI129)</f>
        <v/>
      </c>
      <c r="AK129" s="173">
        <f>AJ129*D129</f>
        <v/>
      </c>
    </row>
    <row r="130">
      <c r="A130" s="346" t="inlineStr">
        <is>
          <t>2. การรับหนังสือ</t>
        </is>
      </c>
      <c r="B130" s="424" t="n"/>
      <c r="C130" s="425" t="n"/>
      <c r="D130" s="426" t="n"/>
      <c r="E130" s="427" t="n"/>
      <c r="F130" s="427" t="n"/>
      <c r="G130" s="427" t="n"/>
      <c r="H130" s="427" t="n"/>
      <c r="I130" s="427" t="n"/>
      <c r="J130" s="427" t="n"/>
      <c r="K130" s="427" t="n"/>
      <c r="L130" s="427" t="n"/>
      <c r="M130" s="427" t="n"/>
      <c r="N130" s="427" t="n"/>
      <c r="O130" s="427" t="n"/>
      <c r="P130" s="427" t="n"/>
      <c r="Q130" s="427" t="n"/>
      <c r="R130" s="427" t="n"/>
      <c r="S130" s="427" t="n"/>
      <c r="T130" s="427" t="n"/>
      <c r="U130" s="427" t="n"/>
      <c r="V130" s="427" t="n"/>
      <c r="W130" s="427" t="n"/>
      <c r="X130" s="427" t="n"/>
      <c r="Y130" s="427" t="n"/>
      <c r="Z130" s="427" t="n"/>
      <c r="AA130" s="427" t="n"/>
      <c r="AB130" s="427" t="n"/>
      <c r="AC130" s="427" t="n"/>
      <c r="AD130" s="427" t="n"/>
      <c r="AE130" s="427" t="n"/>
      <c r="AF130" s="427" t="n"/>
      <c r="AG130" s="213" t="n"/>
      <c r="AH130" s="213" t="n"/>
      <c r="AI130" s="214" t="n"/>
      <c r="AJ130" s="215" t="n"/>
      <c r="AK130" s="620" t="n"/>
    </row>
    <row r="131">
      <c r="A131" s="149" t="inlineStr">
        <is>
          <t>2.1 รับหนังสือภายในหน่วยงาน</t>
        </is>
      </c>
      <c r="B131" s="428" t="inlineStr">
        <is>
          <t>เรื่อง</t>
        </is>
      </c>
      <c r="C131" s="218" t="n">
        <v>3</v>
      </c>
      <c r="D131" s="219">
        <f>C131*0.143</f>
        <v/>
      </c>
      <c r="E131" s="217" t="n"/>
      <c r="F131" s="217" t="n"/>
      <c r="G131" s="217" t="n"/>
      <c r="H131" s="217" t="n"/>
      <c r="I131" s="217" t="n"/>
      <c r="J131" s="217" t="n"/>
      <c r="K131" s="217" t="n"/>
      <c r="L131" s="217" t="n"/>
      <c r="M131" s="217" t="n"/>
      <c r="N131" s="217" t="n"/>
      <c r="O131" s="217" t="n"/>
      <c r="P131" s="217" t="n"/>
      <c r="Q131" s="217" t="n"/>
      <c r="R131" s="217" t="n"/>
      <c r="S131" s="217" t="n"/>
      <c r="T131" s="217" t="n"/>
      <c r="U131" s="217" t="n"/>
      <c r="V131" s="217" t="n"/>
      <c r="W131" s="217" t="n"/>
      <c r="X131" s="217" t="n"/>
      <c r="Y131" s="217" t="n"/>
      <c r="Z131" s="217" t="n"/>
      <c r="AA131" s="217" t="n"/>
      <c r="AB131" s="217" t="n"/>
      <c r="AC131" s="217" t="n"/>
      <c r="AD131" s="217" t="n"/>
      <c r="AE131" s="217" t="n"/>
      <c r="AF131" s="217" t="n"/>
      <c r="AG131" s="220" t="n"/>
      <c r="AH131" s="221" t="n"/>
      <c r="AI131" s="222" t="n"/>
      <c r="AJ131" s="223">
        <f>SUM(E131:AI131)</f>
        <v/>
      </c>
      <c r="AK131" s="154">
        <f>AJ131*D131</f>
        <v/>
      </c>
    </row>
    <row r="132">
      <c r="A132" s="352" t="inlineStr">
        <is>
          <t>2.2 คัดแยกหนังสือ</t>
        </is>
      </c>
      <c r="B132" s="428" t="inlineStr">
        <is>
          <t>ฉบับ</t>
        </is>
      </c>
      <c r="C132" s="218" t="n">
        <v>3</v>
      </c>
      <c r="D132" s="219">
        <f>C132*0.143</f>
        <v/>
      </c>
      <c r="E132" s="217" t="n"/>
      <c r="F132" s="217" t="n"/>
      <c r="G132" s="217" t="n"/>
      <c r="H132" s="217" t="n"/>
      <c r="I132" s="217" t="n"/>
      <c r="J132" s="217" t="n"/>
      <c r="K132" s="217" t="n"/>
      <c r="L132" s="217" t="n"/>
      <c r="M132" s="217" t="n"/>
      <c r="N132" s="217" t="n"/>
      <c r="O132" s="217" t="n"/>
      <c r="P132" s="217" t="n"/>
      <c r="Q132" s="217" t="n"/>
      <c r="R132" s="217" t="n"/>
      <c r="S132" s="217" t="n"/>
      <c r="T132" s="217" t="n"/>
      <c r="U132" s="217" t="n"/>
      <c r="V132" s="217" t="n"/>
      <c r="W132" s="217" t="n"/>
      <c r="X132" s="217" t="n"/>
      <c r="Y132" s="217" t="n"/>
      <c r="Z132" s="217" t="n"/>
      <c r="AA132" s="217" t="n"/>
      <c r="AB132" s="217" t="n"/>
      <c r="AC132" s="217" t="n"/>
      <c r="AD132" s="217" t="n"/>
      <c r="AE132" s="217" t="n"/>
      <c r="AF132" s="217" t="n"/>
      <c r="AG132" s="220" t="n"/>
      <c r="AH132" s="221" t="n"/>
      <c r="AI132" s="225" t="n"/>
      <c r="AJ132" s="170">
        <f>SUM(E132:AI132)</f>
        <v/>
      </c>
      <c r="AK132" s="157">
        <f>AJ132*D132</f>
        <v/>
      </c>
    </row>
    <row r="133">
      <c r="A133" s="149" t="inlineStr">
        <is>
          <t>2.3 จัดแฟ้มเสนอ</t>
        </is>
      </c>
      <c r="B133" s="428" t="inlineStr">
        <is>
          <t>ฉบับ</t>
        </is>
      </c>
      <c r="C133" s="218" t="n">
        <v>3</v>
      </c>
      <c r="D133" s="219">
        <f>C133*0.143</f>
        <v/>
      </c>
      <c r="E133" s="217" t="n"/>
      <c r="F133" s="217" t="n"/>
      <c r="G133" s="217" t="n"/>
      <c r="H133" s="217" t="n"/>
      <c r="I133" s="217" t="n"/>
      <c r="J133" s="217" t="n"/>
      <c r="K133" s="217" t="n"/>
      <c r="L133" s="217" t="n"/>
      <c r="M133" s="217" t="n"/>
      <c r="N133" s="217" t="n"/>
      <c r="O133" s="217" t="n"/>
      <c r="P133" s="217" t="n"/>
      <c r="Q133" s="217" t="n"/>
      <c r="R133" s="217" t="n"/>
      <c r="S133" s="217" t="n"/>
      <c r="T133" s="217" t="n"/>
      <c r="U133" s="217" t="n"/>
      <c r="V133" s="217" t="n"/>
      <c r="W133" s="217" t="n"/>
      <c r="X133" s="217" t="n"/>
      <c r="Y133" s="217" t="n"/>
      <c r="Z133" s="217" t="n"/>
      <c r="AA133" s="217" t="n"/>
      <c r="AB133" s="217" t="n"/>
      <c r="AC133" s="217" t="n"/>
      <c r="AD133" s="217" t="n"/>
      <c r="AE133" s="217" t="n"/>
      <c r="AF133" s="217" t="n"/>
      <c r="AG133" s="220" t="n"/>
      <c r="AH133" s="221" t="n"/>
      <c r="AI133" s="225" t="n"/>
      <c r="AJ133" s="170">
        <f>SUM(E133:AI133)</f>
        <v/>
      </c>
      <c r="AK133" s="157">
        <f>AJ133*D133</f>
        <v/>
      </c>
    </row>
    <row r="134">
      <c r="A134" s="149" t="inlineStr">
        <is>
          <t>2.4 เกษียนหนังสือ/เวียนหนังสือ</t>
        </is>
      </c>
      <c r="B134" s="428" t="inlineStr">
        <is>
          <t>เรื่อง</t>
        </is>
      </c>
      <c r="C134" s="218" t="n">
        <v>3</v>
      </c>
      <c r="D134" s="219">
        <f>C134*0.143</f>
        <v/>
      </c>
      <c r="E134" s="217" t="n"/>
      <c r="F134" s="217" t="n"/>
      <c r="G134" s="217" t="n"/>
      <c r="H134" s="217" t="n"/>
      <c r="I134" s="217" t="n"/>
      <c r="J134" s="217" t="n"/>
      <c r="K134" s="217" t="n"/>
      <c r="L134" s="217" t="n"/>
      <c r="M134" s="217" t="n"/>
      <c r="N134" s="217" t="n"/>
      <c r="O134" s="217" t="n"/>
      <c r="P134" s="217" t="n"/>
      <c r="Q134" s="217" t="n"/>
      <c r="R134" s="217" t="n"/>
      <c r="S134" s="217" t="n"/>
      <c r="T134" s="217" t="n"/>
      <c r="U134" s="217" t="n"/>
      <c r="V134" s="217" t="n"/>
      <c r="W134" s="217" t="n"/>
      <c r="X134" s="217" t="n"/>
      <c r="Y134" s="217" t="n"/>
      <c r="Z134" s="217" t="n"/>
      <c r="AA134" s="217" t="n"/>
      <c r="AB134" s="217" t="n"/>
      <c r="AC134" s="217" t="n"/>
      <c r="AD134" s="217" t="n"/>
      <c r="AE134" s="217" t="n"/>
      <c r="AF134" s="217" t="n"/>
      <c r="AG134" s="220" t="n"/>
      <c r="AH134" s="221" t="n"/>
      <c r="AI134" s="225" t="n"/>
      <c r="AJ134" s="170">
        <f>SUM(E134:AI134)</f>
        <v/>
      </c>
      <c r="AK134" s="157">
        <f>AJ134*D134</f>
        <v/>
      </c>
    </row>
    <row r="135">
      <c r="A135" s="149" t="inlineStr">
        <is>
          <t>2.5 แจกจ่ายหนังสือ</t>
        </is>
      </c>
      <c r="B135" s="428" t="inlineStr">
        <is>
          <t>ฉบับ</t>
        </is>
      </c>
      <c r="C135" s="218" t="n">
        <v>3</v>
      </c>
      <c r="D135" s="219">
        <f>C135*0.143</f>
        <v/>
      </c>
      <c r="E135" s="217" t="n"/>
      <c r="F135" s="217" t="n"/>
      <c r="G135" s="217" t="n"/>
      <c r="H135" s="217" t="n"/>
      <c r="I135" s="217" t="n"/>
      <c r="J135" s="217" t="n"/>
      <c r="K135" s="217" t="n"/>
      <c r="L135" s="217" t="n"/>
      <c r="M135" s="217" t="n"/>
      <c r="N135" s="217" t="n"/>
      <c r="O135" s="217" t="n"/>
      <c r="P135" s="217" t="n"/>
      <c r="Q135" s="217" t="n"/>
      <c r="R135" s="217" t="n"/>
      <c r="S135" s="217" t="n"/>
      <c r="T135" s="217" t="n"/>
      <c r="U135" s="217" t="n"/>
      <c r="V135" s="217" t="n"/>
      <c r="W135" s="217" t="n"/>
      <c r="X135" s="217" t="n"/>
      <c r="Y135" s="217" t="n"/>
      <c r="Z135" s="217" t="n"/>
      <c r="AA135" s="217" t="n"/>
      <c r="AB135" s="217" t="n"/>
      <c r="AC135" s="217" t="n"/>
      <c r="AD135" s="217" t="n"/>
      <c r="AE135" s="217" t="n"/>
      <c r="AF135" s="217" t="n"/>
      <c r="AG135" s="220" t="n"/>
      <c r="AH135" s="221" t="n"/>
      <c r="AI135" s="225" t="n"/>
      <c r="AJ135" s="170">
        <f>SUM(E135:AI135)</f>
        <v/>
      </c>
      <c r="AK135" s="157">
        <f>AJ135*D135</f>
        <v/>
      </c>
    </row>
    <row r="136">
      <c r="A136" s="353" t="inlineStr">
        <is>
          <t>2.6 การจัดการใบลาต่าง ๆ (จนสิ้นสุดกระบวนการ)</t>
        </is>
      </c>
      <c r="B136" s="428" t="inlineStr">
        <is>
          <t>ฉบับ</t>
        </is>
      </c>
      <c r="C136" s="218" t="n">
        <v>3</v>
      </c>
      <c r="D136" s="219">
        <f>C136*0.143</f>
        <v/>
      </c>
      <c r="E136" s="217" t="n"/>
      <c r="F136" s="217" t="n"/>
      <c r="G136" s="217" t="n"/>
      <c r="H136" s="217" t="n"/>
      <c r="I136" s="217" t="n"/>
      <c r="J136" s="217" t="n"/>
      <c r="K136" s="217" t="n"/>
      <c r="L136" s="217" t="n"/>
      <c r="M136" s="217" t="n"/>
      <c r="N136" s="217" t="n"/>
      <c r="O136" s="217" t="n"/>
      <c r="P136" s="217" t="n"/>
      <c r="Q136" s="217" t="n"/>
      <c r="R136" s="217" t="n"/>
      <c r="S136" s="217" t="n"/>
      <c r="T136" s="429" t="n"/>
      <c r="U136" s="217" t="n"/>
      <c r="V136" s="217" t="n"/>
      <c r="W136" s="217" t="n"/>
      <c r="X136" s="217" t="n"/>
      <c r="Y136" s="217" t="n"/>
      <c r="Z136" s="217" t="n"/>
      <c r="AA136" s="217" t="n"/>
      <c r="AB136" s="217" t="n"/>
      <c r="AC136" s="217" t="n"/>
      <c r="AD136" s="217" t="n"/>
      <c r="AE136" s="217" t="n"/>
      <c r="AF136" s="217" t="n"/>
      <c r="AG136" s="220" t="n"/>
      <c r="AH136" s="221" t="n"/>
      <c r="AI136" s="423" t="n"/>
      <c r="AJ136" s="232">
        <f>SUM(E136:AI136)</f>
        <v/>
      </c>
      <c r="AK136" s="173">
        <f>AJ136*D136</f>
        <v/>
      </c>
    </row>
    <row r="137">
      <c r="A137" s="144" t="inlineStr">
        <is>
          <t>3. การส่งหนังสือ</t>
        </is>
      </c>
      <c r="B137" s="425" t="n"/>
      <c r="C137" s="425" t="n"/>
      <c r="D137" s="426" t="n"/>
      <c r="E137" s="427" t="n"/>
      <c r="F137" s="427" t="n"/>
      <c r="G137" s="427" t="n"/>
      <c r="H137" s="427" t="n"/>
      <c r="I137" s="427" t="n"/>
      <c r="J137" s="427" t="n"/>
      <c r="K137" s="427" t="n"/>
      <c r="L137" s="427" t="n"/>
      <c r="M137" s="427" t="n"/>
      <c r="N137" s="427" t="n"/>
      <c r="O137" s="427" t="n"/>
      <c r="P137" s="427" t="n"/>
      <c r="Q137" s="427" t="n"/>
      <c r="R137" s="427" t="n"/>
      <c r="S137" s="427" t="n"/>
      <c r="T137" s="427" t="n"/>
      <c r="U137" s="427" t="n"/>
      <c r="V137" s="427" t="n"/>
      <c r="W137" s="427" t="n"/>
      <c r="X137" s="427" t="n"/>
      <c r="Y137" s="427" t="n"/>
      <c r="Z137" s="427" t="n"/>
      <c r="AA137" s="427" t="n"/>
      <c r="AB137" s="427" t="n"/>
      <c r="AC137" s="427" t="n"/>
      <c r="AD137" s="427" t="n"/>
      <c r="AE137" s="427" t="n"/>
      <c r="AF137" s="427" t="n"/>
      <c r="AG137" s="213" t="n"/>
      <c r="AH137" s="213" t="n"/>
      <c r="AI137" s="214" t="n"/>
      <c r="AJ137" s="215" t="n"/>
      <c r="AK137" s="620" t="n"/>
    </row>
    <row r="138">
      <c r="A138" s="149" t="inlineStr">
        <is>
          <t>3.1 การขอออกเลขส่งหนังสือ</t>
        </is>
      </c>
      <c r="B138" s="217" t="inlineStr">
        <is>
          <t>ฉบับ</t>
        </is>
      </c>
      <c r="C138" s="218" t="n">
        <v>5</v>
      </c>
      <c r="D138" s="219">
        <f>C138*0.143</f>
        <v/>
      </c>
      <c r="E138" s="217" t="n"/>
      <c r="F138" s="217" t="n"/>
      <c r="G138" s="217" t="n"/>
      <c r="H138" s="217" t="n"/>
      <c r="I138" s="217" t="n"/>
      <c r="J138" s="217" t="n"/>
      <c r="K138" s="217" t="n"/>
      <c r="L138" s="217" t="n"/>
      <c r="M138" s="217" t="n"/>
      <c r="N138" s="217" t="n"/>
      <c r="O138" s="217" t="n"/>
      <c r="P138" s="217" t="n"/>
      <c r="Q138" s="217" t="n"/>
      <c r="R138" s="217" t="n"/>
      <c r="S138" s="217" t="n"/>
      <c r="T138" s="217" t="n"/>
      <c r="U138" s="217" t="n"/>
      <c r="V138" s="217" t="n"/>
      <c r="W138" s="217" t="n"/>
      <c r="X138" s="217" t="n"/>
      <c r="Y138" s="217" t="n"/>
      <c r="Z138" s="217" t="n"/>
      <c r="AA138" s="217" t="n"/>
      <c r="AB138" s="217" t="n"/>
      <c r="AC138" s="217" t="n"/>
      <c r="AD138" s="217" t="n"/>
      <c r="AE138" s="217" t="n"/>
      <c r="AF138" s="217" t="n"/>
      <c r="AG138" s="220" t="n"/>
      <c r="AH138" s="221" t="n"/>
      <c r="AI138" s="222" t="n"/>
      <c r="AJ138" s="223">
        <f>SUM(E138:AI138)</f>
        <v/>
      </c>
      <c r="AK138" s="154">
        <f>AJ138*D138</f>
        <v/>
      </c>
    </row>
    <row r="139">
      <c r="A139" s="149" t="inlineStr">
        <is>
          <t>3.2 การส่งหนังสือระหว่างหน่วยงานภายใน รพ.ฯ</t>
        </is>
      </c>
      <c r="B139" s="217" t="inlineStr">
        <is>
          <t>เรื่อง</t>
        </is>
      </c>
      <c r="C139" s="218" t="n">
        <v>10</v>
      </c>
      <c r="D139" s="259">
        <f>C139*0.143</f>
        <v/>
      </c>
      <c r="E139" s="217" t="n"/>
      <c r="F139" s="217" t="n"/>
      <c r="G139" s="217" t="n"/>
      <c r="H139" s="217" t="n"/>
      <c r="I139" s="217" t="n"/>
      <c r="J139" s="217" t="n"/>
      <c r="K139" s="217" t="n"/>
      <c r="L139" s="217" t="n"/>
      <c r="M139" s="217" t="n"/>
      <c r="N139" s="217" t="n"/>
      <c r="O139" s="217" t="n"/>
      <c r="P139" s="217" t="n"/>
      <c r="Q139" s="217" t="n"/>
      <c r="R139" s="217" t="n"/>
      <c r="S139" s="217" t="n"/>
      <c r="T139" s="217" t="n"/>
      <c r="U139" s="217" t="n"/>
      <c r="V139" s="217" t="n"/>
      <c r="W139" s="217" t="n"/>
      <c r="X139" s="217" t="n"/>
      <c r="Y139" s="217" t="n"/>
      <c r="Z139" s="217" t="n"/>
      <c r="AA139" s="217" t="n"/>
      <c r="AB139" s="217" t="n"/>
      <c r="AC139" s="217" t="n"/>
      <c r="AD139" s="217" t="n"/>
      <c r="AE139" s="217" t="n"/>
      <c r="AF139" s="217" t="n"/>
      <c r="AG139" s="220" t="n"/>
      <c r="AH139" s="221" t="n"/>
      <c r="AI139" s="225" t="n"/>
      <c r="AJ139" s="170">
        <f>SUM(E139:AI139)</f>
        <v/>
      </c>
      <c r="AK139" s="157">
        <f>AJ139*D139</f>
        <v/>
      </c>
    </row>
    <row r="140">
      <c r="A140" s="149" t="inlineStr">
        <is>
          <t>3.3 การส่งหนังสือระหว่างหน่วยงานภายนอก รพ.ฯ</t>
        </is>
      </c>
      <c r="B140" s="217" t="inlineStr">
        <is>
          <t>เรื่อง</t>
        </is>
      </c>
      <c r="C140" s="218" t="n">
        <v>20</v>
      </c>
      <c r="D140" s="259">
        <f>C140*0.143</f>
        <v/>
      </c>
      <c r="E140" s="217" t="n"/>
      <c r="F140" s="217" t="n"/>
      <c r="G140" s="217" t="n"/>
      <c r="H140" s="217" t="n"/>
      <c r="I140" s="217" t="n"/>
      <c r="J140" s="217" t="n"/>
      <c r="K140" s="217" t="n"/>
      <c r="L140" s="217" t="n"/>
      <c r="M140" s="217" t="n"/>
      <c r="N140" s="217" t="n"/>
      <c r="O140" s="217" t="n"/>
      <c r="P140" s="217" t="n"/>
      <c r="Q140" s="217" t="n"/>
      <c r="R140" s="217" t="n"/>
      <c r="S140" s="217" t="n"/>
      <c r="T140" s="217" t="n"/>
      <c r="U140" s="217" t="n"/>
      <c r="V140" s="217" t="n"/>
      <c r="W140" s="217" t="n"/>
      <c r="X140" s="217" t="n"/>
      <c r="Y140" s="217" t="n"/>
      <c r="Z140" s="217" t="n"/>
      <c r="AA140" s="217" t="n"/>
      <c r="AB140" s="217" t="n"/>
      <c r="AC140" s="217" t="n"/>
      <c r="AD140" s="217" t="n"/>
      <c r="AE140" s="217" t="n"/>
      <c r="AF140" s="217" t="n"/>
      <c r="AG140" s="220" t="n"/>
      <c r="AH140" s="221" t="n"/>
      <c r="AI140" s="423" t="n"/>
      <c r="AJ140" s="232">
        <f>SUM(E140:AI140)</f>
        <v/>
      </c>
      <c r="AK140" s="173">
        <f>AJ140*D140</f>
        <v/>
      </c>
    </row>
    <row r="141">
      <c r="A141" s="144" t="inlineStr">
        <is>
          <t>4. การพิมพ์หนังสือ</t>
        </is>
      </c>
      <c r="B141" s="425" t="n"/>
      <c r="C141" s="425" t="n"/>
      <c r="D141" s="426" t="n"/>
      <c r="E141" s="427" t="n"/>
      <c r="F141" s="427" t="n"/>
      <c r="G141" s="427" t="n"/>
      <c r="H141" s="427" t="n"/>
      <c r="I141" s="427" t="n"/>
      <c r="J141" s="427" t="n"/>
      <c r="K141" s="427" t="n"/>
      <c r="L141" s="427" t="n"/>
      <c r="M141" s="427" t="n"/>
      <c r="N141" s="427" t="n"/>
      <c r="O141" s="427" t="n"/>
      <c r="P141" s="427" t="n"/>
      <c r="Q141" s="427" t="n"/>
      <c r="R141" s="427" t="n"/>
      <c r="S141" s="427" t="n"/>
      <c r="T141" s="427" t="n"/>
      <c r="U141" s="427" t="n"/>
      <c r="V141" s="427" t="n"/>
      <c r="W141" s="427" t="n"/>
      <c r="X141" s="427" t="n"/>
      <c r="Y141" s="427" t="n"/>
      <c r="Z141" s="427" t="n"/>
      <c r="AA141" s="427" t="n"/>
      <c r="AB141" s="427" t="n"/>
      <c r="AC141" s="427" t="n"/>
      <c r="AD141" s="427" t="n"/>
      <c r="AE141" s="427" t="n"/>
      <c r="AF141" s="427" t="n"/>
      <c r="AG141" s="213" t="n"/>
      <c r="AH141" s="213" t="n"/>
      <c r="AI141" s="214" t="n"/>
      <c r="AJ141" s="215" t="n"/>
      <c r="AK141" s="620" t="n"/>
    </row>
    <row r="142">
      <c r="A142" s="149" t="inlineStr">
        <is>
          <t>4.1 หนังสือภายใน</t>
        </is>
      </c>
      <c r="B142" s="430" t="inlineStr">
        <is>
          <t>เรื่อง</t>
        </is>
      </c>
      <c r="C142" s="218" t="n">
        <v>20</v>
      </c>
      <c r="D142" s="219">
        <f>C142*0.143</f>
        <v/>
      </c>
      <c r="E142" s="217" t="n"/>
      <c r="F142" s="217" t="n"/>
      <c r="G142" s="217" t="n"/>
      <c r="H142" s="217" t="n"/>
      <c r="I142" s="217" t="n"/>
      <c r="J142" s="217" t="n"/>
      <c r="K142" s="217" t="n"/>
      <c r="L142" s="217" t="n"/>
      <c r="M142" s="217" t="n"/>
      <c r="N142" s="217" t="n"/>
      <c r="O142" s="217" t="n"/>
      <c r="P142" s="217" t="n"/>
      <c r="Q142" s="217" t="n"/>
      <c r="R142" s="217" t="n"/>
      <c r="S142" s="217" t="n"/>
      <c r="T142" s="217" t="n"/>
      <c r="U142" s="217" t="n"/>
      <c r="V142" s="217" t="n"/>
      <c r="W142" s="217" t="n"/>
      <c r="X142" s="217" t="n"/>
      <c r="Y142" s="217" t="n"/>
      <c r="Z142" s="217" t="n"/>
      <c r="AA142" s="217" t="n"/>
      <c r="AB142" s="217" t="n"/>
      <c r="AC142" s="217" t="n"/>
      <c r="AD142" s="217" t="n"/>
      <c r="AE142" s="217" t="n"/>
      <c r="AF142" s="217" t="n"/>
      <c r="AG142" s="220" t="n"/>
      <c r="AH142" s="221" t="n"/>
      <c r="AI142" s="222" t="n"/>
      <c r="AJ142" s="223">
        <f>SUM(E142:AI142)</f>
        <v/>
      </c>
      <c r="AK142" s="154">
        <f>AJ142*D142</f>
        <v/>
      </c>
    </row>
    <row r="143">
      <c r="A143" s="149" t="inlineStr">
        <is>
          <t>4.2 หนังสือภายนอก</t>
        </is>
      </c>
      <c r="B143" s="217" t="inlineStr">
        <is>
          <t>เรื่อง</t>
        </is>
      </c>
      <c r="C143" s="218" t="n">
        <v>25</v>
      </c>
      <c r="D143" s="219">
        <f>C143*0.143</f>
        <v/>
      </c>
      <c r="E143" s="217" t="n"/>
      <c r="F143" s="217" t="n"/>
      <c r="G143" s="217" t="n"/>
      <c r="H143" s="217" t="n"/>
      <c r="I143" s="217" t="n"/>
      <c r="J143" s="217" t="n"/>
      <c r="K143" s="217" t="n"/>
      <c r="L143" s="217" t="n"/>
      <c r="M143" s="217" t="n"/>
      <c r="N143" s="217" t="n"/>
      <c r="O143" s="217" t="n"/>
      <c r="P143" s="217" t="n"/>
      <c r="Q143" s="217" t="n"/>
      <c r="R143" s="217" t="n"/>
      <c r="S143" s="217" t="n"/>
      <c r="T143" s="217" t="n"/>
      <c r="U143" s="217" t="n"/>
      <c r="V143" s="217" t="n"/>
      <c r="W143" s="217" t="n"/>
      <c r="X143" s="217" t="n"/>
      <c r="Y143" s="217" t="n"/>
      <c r="Z143" s="217" t="n"/>
      <c r="AA143" s="217" t="n"/>
      <c r="AB143" s="217" t="n"/>
      <c r="AC143" s="217" t="n"/>
      <c r="AD143" s="217" t="n"/>
      <c r="AE143" s="217" t="n"/>
      <c r="AF143" s="217" t="n"/>
      <c r="AG143" s="220" t="n"/>
      <c r="AH143" s="221" t="n"/>
      <c r="AI143" s="225" t="n"/>
      <c r="AJ143" s="170">
        <f>SUM(E143:AI143)</f>
        <v/>
      </c>
      <c r="AK143" s="157">
        <f>AJ143*D143</f>
        <v/>
      </c>
    </row>
    <row r="144">
      <c r="A144" s="355" t="inlineStr">
        <is>
          <t>4.3 ระเบียบ</t>
        </is>
      </c>
      <c r="B144" s="217" t="inlineStr">
        <is>
          <t>เรื่อง</t>
        </is>
      </c>
      <c r="C144" s="218" t="n">
        <v>30</v>
      </c>
      <c r="D144" s="219">
        <f>C144*0.143</f>
        <v/>
      </c>
      <c r="E144" s="217" t="n"/>
      <c r="F144" s="217" t="n"/>
      <c r="G144" s="217" t="n"/>
      <c r="H144" s="217" t="n"/>
      <c r="I144" s="217" t="n"/>
      <c r="J144" s="217" t="n"/>
      <c r="K144" s="217" t="n"/>
      <c r="L144" s="217" t="n"/>
      <c r="M144" s="217" t="n"/>
      <c r="N144" s="217" t="n"/>
      <c r="O144" s="217" t="n"/>
      <c r="P144" s="217" t="n"/>
      <c r="Q144" s="217" t="n"/>
      <c r="R144" s="217" t="n"/>
      <c r="S144" s="217" t="n"/>
      <c r="T144" s="217" t="n"/>
      <c r="U144" s="217" t="n"/>
      <c r="V144" s="217" t="n"/>
      <c r="W144" s="217" t="n"/>
      <c r="X144" s="217" t="n"/>
      <c r="Y144" s="217" t="n"/>
      <c r="Z144" s="217" t="n"/>
      <c r="AA144" s="217" t="n"/>
      <c r="AB144" s="217" t="n"/>
      <c r="AC144" s="217" t="n"/>
      <c r="AD144" s="217" t="n"/>
      <c r="AE144" s="217" t="n"/>
      <c r="AF144" s="217" t="n"/>
      <c r="AG144" s="220" t="n"/>
      <c r="AH144" s="221" t="n"/>
      <c r="AI144" s="225" t="n"/>
      <c r="AJ144" s="170">
        <f>SUM(E144:AI144)</f>
        <v/>
      </c>
      <c r="AK144" s="157">
        <f>AJ144*D144</f>
        <v/>
      </c>
    </row>
    <row r="145">
      <c r="A145" s="355" t="inlineStr">
        <is>
          <t>4.4 คำสั่ง</t>
        </is>
      </c>
      <c r="B145" s="217" t="inlineStr">
        <is>
          <t>เรื่อง</t>
        </is>
      </c>
      <c r="C145" s="218" t="n">
        <v>15</v>
      </c>
      <c r="D145" s="219">
        <f>C145*0.143</f>
        <v/>
      </c>
      <c r="E145" s="217" t="n"/>
      <c r="F145" s="217" t="n"/>
      <c r="G145" s="217" t="n"/>
      <c r="H145" s="217" t="n"/>
      <c r="I145" s="217" t="n"/>
      <c r="J145" s="217" t="n"/>
      <c r="K145" s="217" t="n"/>
      <c r="L145" s="217" t="n"/>
      <c r="M145" s="217" t="n"/>
      <c r="N145" s="217" t="n"/>
      <c r="O145" s="217" t="n"/>
      <c r="P145" s="217" t="n"/>
      <c r="Q145" s="217" t="n"/>
      <c r="R145" s="217" t="n"/>
      <c r="S145" s="217" t="n"/>
      <c r="T145" s="217" t="n"/>
      <c r="U145" s="217" t="n"/>
      <c r="V145" s="217" t="n"/>
      <c r="W145" s="217" t="n"/>
      <c r="X145" s="217" t="n"/>
      <c r="Y145" s="217" t="n"/>
      <c r="Z145" s="217" t="n"/>
      <c r="AA145" s="217" t="n"/>
      <c r="AB145" s="217" t="n"/>
      <c r="AC145" s="217" t="n"/>
      <c r="AD145" s="217" t="n"/>
      <c r="AE145" s="217" t="n"/>
      <c r="AF145" s="217" t="n"/>
      <c r="AG145" s="220" t="n"/>
      <c r="AH145" s="221" t="n"/>
      <c r="AI145" s="225" t="n"/>
      <c r="AJ145" s="170">
        <f>SUM(E145:AI145)</f>
        <v/>
      </c>
      <c r="AK145" s="157">
        <f>AJ145*D145</f>
        <v/>
      </c>
    </row>
    <row r="146">
      <c r="A146" s="149" t="inlineStr">
        <is>
          <t>4.5 พิมพ์หนังสือตามแบบฟอร์ม</t>
        </is>
      </c>
      <c r="B146" s="217" t="inlineStr">
        <is>
          <t>เรื่อง</t>
        </is>
      </c>
      <c r="C146" s="218" t="n">
        <v>10</v>
      </c>
      <c r="D146" s="219">
        <f>C146*0.143</f>
        <v/>
      </c>
      <c r="E146" s="217" t="n"/>
      <c r="F146" s="217" t="n"/>
      <c r="G146" s="217" t="n"/>
      <c r="H146" s="217" t="n"/>
      <c r="I146" s="217" t="n"/>
      <c r="J146" s="217" t="n"/>
      <c r="K146" s="217" t="n"/>
      <c r="L146" s="217" t="n"/>
      <c r="M146" s="217" t="n"/>
      <c r="N146" s="217" t="n"/>
      <c r="O146" s="217" t="n"/>
      <c r="P146" s="217" t="n"/>
      <c r="Q146" s="217" t="n"/>
      <c r="R146" s="217" t="n"/>
      <c r="S146" s="217" t="n"/>
      <c r="T146" s="217" t="n"/>
      <c r="U146" s="217" t="n"/>
      <c r="V146" s="217" t="n"/>
      <c r="W146" s="217" t="n"/>
      <c r="X146" s="217" t="n"/>
      <c r="Y146" s="217" t="n"/>
      <c r="Z146" s="217" t="n"/>
      <c r="AA146" s="217" t="n"/>
      <c r="AB146" s="217" t="n"/>
      <c r="AC146" s="217" t="n"/>
      <c r="AD146" s="217" t="n"/>
      <c r="AE146" s="217" t="n"/>
      <c r="AF146" s="217" t="n"/>
      <c r="AG146" s="220" t="n"/>
      <c r="AH146" s="221" t="n"/>
      <c r="AI146" s="225" t="n"/>
      <c r="AJ146" s="170">
        <f>SUM(E146:AI146)</f>
        <v/>
      </c>
      <c r="AK146" s="157">
        <f>AJ146*D146</f>
        <v/>
      </c>
    </row>
    <row r="147">
      <c r="A147" s="355" t="inlineStr">
        <is>
          <t>4.6 หนังสือที่เจ้าหน้าที่จัดทำขึ้นฯ(หนังสือรับรอง บันทึก)</t>
        </is>
      </c>
      <c r="B147" s="217" t="inlineStr">
        <is>
          <t>เรื่อง</t>
        </is>
      </c>
      <c r="C147" s="218" t="n">
        <v>10</v>
      </c>
      <c r="D147" s="219">
        <f>C147*0.143</f>
        <v/>
      </c>
      <c r="E147" s="217" t="n"/>
      <c r="F147" s="217" t="n"/>
      <c r="G147" s="217" t="n"/>
      <c r="H147" s="217" t="n"/>
      <c r="I147" s="217" t="n"/>
      <c r="J147" s="217" t="n"/>
      <c r="K147" s="217" t="n"/>
      <c r="L147" s="217" t="n"/>
      <c r="M147" s="217" t="n"/>
      <c r="N147" s="217" t="n"/>
      <c r="O147" s="217" t="n"/>
      <c r="P147" s="217" t="n"/>
      <c r="Q147" s="217" t="n"/>
      <c r="R147" s="217" t="n"/>
      <c r="S147" s="217" t="n"/>
      <c r="T147" s="217" t="n"/>
      <c r="U147" s="217" t="n"/>
      <c r="V147" s="217" t="n"/>
      <c r="W147" s="217" t="n"/>
      <c r="X147" s="217" t="n"/>
      <c r="Y147" s="217" t="n"/>
      <c r="Z147" s="217" t="n"/>
      <c r="AA147" s="217" t="n"/>
      <c r="AB147" s="217" t="n"/>
      <c r="AC147" s="217" t="n"/>
      <c r="AD147" s="217" t="n"/>
      <c r="AE147" s="217" t="n"/>
      <c r="AF147" s="217" t="n"/>
      <c r="AG147" s="220" t="n"/>
      <c r="AH147" s="221" t="n"/>
      <c r="AI147" s="225" t="n"/>
      <c r="AJ147" s="170">
        <f>SUM(E147:AI147)</f>
        <v/>
      </c>
      <c r="AK147" s="157">
        <f>AJ147*D147</f>
        <v/>
      </c>
    </row>
    <row r="148">
      <c r="A148" s="356" t="inlineStr">
        <is>
          <t>4.7 พิมพ์ชื่อ-ที่อยู่ ซอง การ์ดต่างๆ</t>
        </is>
      </c>
      <c r="B148" s="430" t="inlineStr">
        <is>
          <t>ฉบับ</t>
        </is>
      </c>
      <c r="C148" s="218" t="n">
        <v>3</v>
      </c>
      <c r="D148" s="219">
        <f>C148*0.143</f>
        <v/>
      </c>
      <c r="E148" s="217" t="n"/>
      <c r="F148" s="217" t="n"/>
      <c r="G148" s="217" t="n"/>
      <c r="H148" s="217" t="n"/>
      <c r="I148" s="217" t="n"/>
      <c r="J148" s="217" t="n"/>
      <c r="K148" s="217" t="n"/>
      <c r="L148" s="217" t="n"/>
      <c r="M148" s="217" t="n"/>
      <c r="N148" s="217" t="n"/>
      <c r="O148" s="217" t="n"/>
      <c r="P148" s="217" t="n"/>
      <c r="Q148" s="217" t="n"/>
      <c r="R148" s="217" t="n"/>
      <c r="S148" s="217" t="n"/>
      <c r="T148" s="217" t="n"/>
      <c r="U148" s="217" t="n"/>
      <c r="V148" s="217" t="n"/>
      <c r="W148" s="217" t="n"/>
      <c r="X148" s="217" t="n"/>
      <c r="Y148" s="217" t="n"/>
      <c r="Z148" s="217" t="n"/>
      <c r="AA148" s="217" t="n"/>
      <c r="AB148" s="217" t="n"/>
      <c r="AC148" s="217" t="n"/>
      <c r="AD148" s="217" t="n"/>
      <c r="AE148" s="217" t="n"/>
      <c r="AF148" s="217" t="n"/>
      <c r="AG148" s="220" t="n"/>
      <c r="AH148" s="221" t="n"/>
      <c r="AI148" s="225" t="n"/>
      <c r="AJ148" s="170">
        <f>SUM(E148:AI148)</f>
        <v/>
      </c>
      <c r="AK148" s="157">
        <f>AJ148*D148</f>
        <v/>
      </c>
    </row>
    <row r="149">
      <c r="A149" s="357" t="inlineStr">
        <is>
          <t>4.8 ส่งไปรษณีย์ภายใน รพ.</t>
        </is>
      </c>
      <c r="B149" s="430" t="inlineStr">
        <is>
          <t>วัน</t>
        </is>
      </c>
      <c r="C149" s="218" t="n">
        <v>15</v>
      </c>
      <c r="D149" s="219">
        <f>C149*0.143</f>
        <v/>
      </c>
      <c r="E149" s="217" t="n"/>
      <c r="F149" s="217" t="n"/>
      <c r="G149" s="217" t="n"/>
      <c r="H149" s="217" t="n"/>
      <c r="I149" s="217" t="n"/>
      <c r="J149" s="217" t="n"/>
      <c r="K149" s="217" t="n"/>
      <c r="L149" s="217" t="n"/>
      <c r="M149" s="217" t="n"/>
      <c r="N149" s="217" t="n"/>
      <c r="O149" s="217" t="n"/>
      <c r="P149" s="217" t="n"/>
      <c r="Q149" s="217" t="n"/>
      <c r="R149" s="217" t="n"/>
      <c r="S149" s="217" t="n"/>
      <c r="T149" s="217" t="n"/>
      <c r="U149" s="217" t="n"/>
      <c r="V149" s="217" t="n"/>
      <c r="W149" s="217" t="n"/>
      <c r="X149" s="217" t="n"/>
      <c r="Y149" s="217" t="n"/>
      <c r="Z149" s="217" t="n"/>
      <c r="AA149" s="217" t="n"/>
      <c r="AB149" s="217" t="n"/>
      <c r="AC149" s="217" t="n"/>
      <c r="AD149" s="217" t="n"/>
      <c r="AE149" s="217" t="n"/>
      <c r="AF149" s="217" t="n"/>
      <c r="AG149" s="220" t="n"/>
      <c r="AH149" s="221" t="n"/>
      <c r="AI149" s="225" t="n"/>
      <c r="AJ149" s="170">
        <f>SUM(E149:AI149)</f>
        <v/>
      </c>
      <c r="AK149" s="157">
        <f>AJ149*D149</f>
        <v/>
      </c>
    </row>
    <row r="150">
      <c r="A150" s="357" t="inlineStr">
        <is>
          <t>4.9 ส่งไปรษณีย์นอก รพ.</t>
        </is>
      </c>
      <c r="B150" s="430" t="inlineStr">
        <is>
          <t>วัน</t>
        </is>
      </c>
      <c r="C150" s="218" t="n">
        <v>180</v>
      </c>
      <c r="D150" s="219">
        <f>C150*0.143</f>
        <v/>
      </c>
      <c r="E150" s="217" t="n"/>
      <c r="F150" s="217" t="n"/>
      <c r="G150" s="217" t="n"/>
      <c r="H150" s="217" t="n"/>
      <c r="I150" s="217" t="n"/>
      <c r="J150" s="217" t="n"/>
      <c r="K150" s="217" t="n"/>
      <c r="L150" s="217" t="n"/>
      <c r="M150" s="217" t="n"/>
      <c r="N150" s="217" t="n"/>
      <c r="O150" s="217" t="n"/>
      <c r="P150" s="217" t="n"/>
      <c r="Q150" s="217" t="n"/>
      <c r="R150" s="217" t="n"/>
      <c r="S150" s="217" t="n"/>
      <c r="T150" s="217" t="n"/>
      <c r="U150" s="217" t="n"/>
      <c r="V150" s="217" t="n"/>
      <c r="W150" s="217" t="n"/>
      <c r="X150" s="217" t="n"/>
      <c r="Y150" s="217" t="n"/>
      <c r="Z150" s="217" t="n"/>
      <c r="AA150" s="217" t="n"/>
      <c r="AB150" s="217" t="n"/>
      <c r="AC150" s="217" t="n"/>
      <c r="AD150" s="217" t="n"/>
      <c r="AE150" s="217" t="n"/>
      <c r="AF150" s="217" t="n"/>
      <c r="AG150" s="220" t="n"/>
      <c r="AH150" s="221" t="n"/>
      <c r="AI150" s="225" t="n"/>
      <c r="AJ150" s="170">
        <f>SUM(E150:AI150)</f>
        <v/>
      </c>
      <c r="AK150" s="157">
        <f>AJ150*D150</f>
        <v/>
      </c>
    </row>
    <row r="151">
      <c r="A151" s="358" t="inlineStr">
        <is>
          <t xml:space="preserve">5. การค้นหาหนังสือราชการ/เอกสารอื่น </t>
        </is>
      </c>
      <c r="B151" s="217" t="inlineStr">
        <is>
          <t>ฉบับ</t>
        </is>
      </c>
      <c r="C151" s="428" t="n">
        <v>5</v>
      </c>
      <c r="D151" s="219">
        <f>C151*0.143</f>
        <v/>
      </c>
      <c r="E151" s="217" t="n"/>
      <c r="F151" s="217" t="n"/>
      <c r="G151" s="217" t="n"/>
      <c r="H151" s="217" t="n"/>
      <c r="I151" s="217" t="n"/>
      <c r="J151" s="217" t="n"/>
      <c r="K151" s="217" t="n"/>
      <c r="L151" s="217" t="n"/>
      <c r="M151" s="217" t="n"/>
      <c r="N151" s="217" t="n"/>
      <c r="O151" s="217" t="n"/>
      <c r="P151" s="217" t="n"/>
      <c r="Q151" s="217" t="n"/>
      <c r="R151" s="217" t="n"/>
      <c r="S151" s="217" t="n"/>
      <c r="T151" s="217" t="n"/>
      <c r="U151" s="217" t="n"/>
      <c r="V151" s="217" t="n"/>
      <c r="W151" s="217" t="n"/>
      <c r="X151" s="217" t="n"/>
      <c r="Y151" s="217" t="n"/>
      <c r="Z151" s="217" t="n"/>
      <c r="AA151" s="217" t="n"/>
      <c r="AB151" s="217" t="n"/>
      <c r="AC151" s="217" t="n"/>
      <c r="AD151" s="217" t="n"/>
      <c r="AE151" s="217" t="n"/>
      <c r="AF151" s="217" t="n"/>
      <c r="AG151" s="220" t="n"/>
      <c r="AH151" s="221" t="n"/>
      <c r="AI151" s="225" t="n"/>
      <c r="AJ151" s="170">
        <f>SUM(E151:AI151)</f>
        <v/>
      </c>
      <c r="AK151" s="157">
        <f>AJ151*D151</f>
        <v/>
      </c>
    </row>
    <row r="152">
      <c r="A152" s="359" t="inlineStr">
        <is>
          <t>6. การถ่ายเอกสาร/การสำเนาเอกสาร</t>
        </is>
      </c>
      <c r="B152" s="217" t="inlineStr">
        <is>
          <t>เรื่อง</t>
        </is>
      </c>
      <c r="C152" s="218" t="n">
        <v>5</v>
      </c>
      <c r="D152" s="219">
        <f>C152*0.143</f>
        <v/>
      </c>
      <c r="E152" s="217" t="n"/>
      <c r="F152" s="217" t="n"/>
      <c r="G152" s="217" t="n"/>
      <c r="H152" s="217" t="n"/>
      <c r="I152" s="217" t="n"/>
      <c r="J152" s="217" t="n"/>
      <c r="K152" s="217" t="n"/>
      <c r="L152" s="217" t="n"/>
      <c r="M152" s="217" t="n"/>
      <c r="N152" s="217" t="n"/>
      <c r="O152" s="217" t="n"/>
      <c r="P152" s="217" t="n"/>
      <c r="Q152" s="217" t="n"/>
      <c r="R152" s="217" t="n"/>
      <c r="S152" s="217" t="n"/>
      <c r="T152" s="217" t="n"/>
      <c r="U152" s="217" t="n"/>
      <c r="V152" s="217" t="n"/>
      <c r="W152" s="217" t="n"/>
      <c r="X152" s="217" t="n"/>
      <c r="Y152" s="217" t="n"/>
      <c r="Z152" s="217" t="n"/>
      <c r="AA152" s="217" t="n"/>
      <c r="AB152" s="217" t="n"/>
      <c r="AC152" s="217" t="n"/>
      <c r="AD152" s="217" t="n"/>
      <c r="AE152" s="217" t="n"/>
      <c r="AF152" s="217" t="n"/>
      <c r="AG152" s="220" t="n"/>
      <c r="AH152" s="221" t="n"/>
      <c r="AI152" s="225" t="n"/>
      <c r="AJ152" s="170">
        <f>SUM(E152:AI152)</f>
        <v/>
      </c>
      <c r="AK152" s="157">
        <f>AJ152*D152</f>
        <v/>
      </c>
    </row>
    <row r="153">
      <c r="A153" s="359" t="inlineStr">
        <is>
          <t>7. การสแกนเอกสาร/ทำไฟล์แยกหมวดหมู่</t>
        </is>
      </c>
      <c r="B153" s="217" t="inlineStr">
        <is>
          <t>เรื่อง</t>
        </is>
      </c>
      <c r="C153" s="218" t="n">
        <v>5</v>
      </c>
      <c r="D153" s="219">
        <f>C153*0.143</f>
        <v/>
      </c>
      <c r="E153" s="217" t="n"/>
      <c r="F153" s="217" t="n"/>
      <c r="G153" s="217" t="n"/>
      <c r="H153" s="217" t="n"/>
      <c r="I153" s="217" t="n"/>
      <c r="J153" s="217" t="n"/>
      <c r="K153" s="217" t="n"/>
      <c r="L153" s="217" t="n"/>
      <c r="M153" s="217" t="n"/>
      <c r="N153" s="217" t="n"/>
      <c r="O153" s="217" t="n"/>
      <c r="P153" s="217" t="n"/>
      <c r="Q153" s="217" t="n"/>
      <c r="R153" s="217" t="n"/>
      <c r="S153" s="217" t="n"/>
      <c r="T153" s="217" t="n"/>
      <c r="U153" s="217" t="n"/>
      <c r="V153" s="217" t="n"/>
      <c r="W153" s="217" t="n"/>
      <c r="X153" s="217" t="n"/>
      <c r="Y153" s="217" t="n"/>
      <c r="Z153" s="217" t="n"/>
      <c r="AA153" s="217" t="n"/>
      <c r="AB153" s="217" t="n"/>
      <c r="AC153" s="217" t="n"/>
      <c r="AD153" s="217" t="n"/>
      <c r="AE153" s="217" t="n"/>
      <c r="AF153" s="217" t="n"/>
      <c r="AG153" s="220" t="n"/>
      <c r="AH153" s="221" t="n"/>
      <c r="AI153" s="225" t="n"/>
      <c r="AJ153" s="170">
        <f>SUM(E153:AI153)</f>
        <v/>
      </c>
      <c r="AK153" s="157">
        <f>AJ153*D153</f>
        <v/>
      </c>
    </row>
    <row r="154">
      <c r="A154" s="360" t="inlineStr">
        <is>
          <t>8. การขออนุมัติใช้ห้องประชุม</t>
        </is>
      </c>
      <c r="B154" s="217" t="inlineStr">
        <is>
          <t>ครั้ง</t>
        </is>
      </c>
      <c r="C154" s="218" t="n">
        <v>5</v>
      </c>
      <c r="D154" s="219">
        <f>C154*0.143</f>
        <v/>
      </c>
      <c r="E154" s="217" t="n"/>
      <c r="F154" s="217" t="n"/>
      <c r="G154" s="217" t="n"/>
      <c r="H154" s="217" t="n"/>
      <c r="I154" s="217" t="n"/>
      <c r="J154" s="217" t="n"/>
      <c r="K154" s="217" t="n"/>
      <c r="L154" s="217" t="n"/>
      <c r="M154" s="217" t="n"/>
      <c r="N154" s="217" t="n"/>
      <c r="O154" s="217" t="n"/>
      <c r="P154" s="217" t="n"/>
      <c r="Q154" s="217" t="n"/>
      <c r="R154" s="217" t="n"/>
      <c r="S154" s="217" t="n"/>
      <c r="T154" s="217" t="n"/>
      <c r="U154" s="217" t="n"/>
      <c r="V154" s="217" t="n"/>
      <c r="W154" s="217" t="n"/>
      <c r="X154" s="217" t="n"/>
      <c r="Y154" s="217" t="n"/>
      <c r="Z154" s="217" t="n"/>
      <c r="AA154" s="217" t="n"/>
      <c r="AB154" s="217" t="n"/>
      <c r="AC154" s="217" t="n"/>
      <c r="AD154" s="217" t="n"/>
      <c r="AE154" s="217" t="n"/>
      <c r="AF154" s="217" t="n"/>
      <c r="AG154" s="220" t="n"/>
      <c r="AH154" s="221" t="n"/>
      <c r="AI154" s="225" t="n"/>
      <c r="AJ154" s="170">
        <f>SUM(E154:AI154)</f>
        <v/>
      </c>
      <c r="AK154" s="157">
        <f>AJ154*D154</f>
        <v/>
      </c>
    </row>
    <row r="155">
      <c r="A155" s="360" t="inlineStr">
        <is>
          <t>9. การขอใช้รถยนต์ราชการ</t>
        </is>
      </c>
      <c r="B155" s="217" t="inlineStr">
        <is>
          <t>ครั้ง</t>
        </is>
      </c>
      <c r="C155" s="218" t="n">
        <v>5</v>
      </c>
      <c r="D155" s="219">
        <f>C155*0.143</f>
        <v/>
      </c>
      <c r="E155" s="217" t="n"/>
      <c r="F155" s="217" t="n"/>
      <c r="G155" s="217" t="n"/>
      <c r="H155" s="217" t="n"/>
      <c r="I155" s="217" t="n"/>
      <c r="J155" s="217" t="n"/>
      <c r="K155" s="217" t="n"/>
      <c r="L155" s="217" t="n"/>
      <c r="M155" s="217" t="n"/>
      <c r="N155" s="217" t="n"/>
      <c r="O155" s="217" t="n"/>
      <c r="P155" s="217" t="n"/>
      <c r="Q155" s="217" t="n"/>
      <c r="R155" s="217" t="n"/>
      <c r="S155" s="217" t="n"/>
      <c r="T155" s="217" t="n"/>
      <c r="U155" s="217" t="n"/>
      <c r="V155" s="217" t="n"/>
      <c r="W155" s="217" t="n"/>
      <c r="X155" s="217" t="n"/>
      <c r="Y155" s="217" t="n"/>
      <c r="Z155" s="217" t="n"/>
      <c r="AA155" s="217" t="n"/>
      <c r="AB155" s="217" t="n"/>
      <c r="AC155" s="217" t="n"/>
      <c r="AD155" s="217" t="n"/>
      <c r="AE155" s="217" t="n"/>
      <c r="AF155" s="217" t="n"/>
      <c r="AG155" s="220" t="n"/>
      <c r="AH155" s="221" t="n"/>
      <c r="AI155" s="225" t="n"/>
      <c r="AJ155" s="170">
        <f>SUM(E155:AI155)</f>
        <v/>
      </c>
      <c r="AK155" s="157">
        <f>AJ155*D155</f>
        <v/>
      </c>
    </row>
    <row r="156">
      <c r="A156" s="359" t="inlineStr">
        <is>
          <t>10. การจัดทำรายงานการประชุม(ไม่เกิน 5 วัน/รายงาน)</t>
        </is>
      </c>
      <c r="B156" s="431" t="inlineStr">
        <is>
          <t>เรื่อง</t>
        </is>
      </c>
      <c r="C156" s="218" t="n">
        <v>60</v>
      </c>
      <c r="D156" s="259">
        <f>C156*0.143</f>
        <v/>
      </c>
      <c r="E156" s="217" t="n"/>
      <c r="F156" s="217" t="n"/>
      <c r="G156" s="217" t="n"/>
      <c r="H156" s="217" t="n"/>
      <c r="I156" s="217" t="n"/>
      <c r="J156" s="217" t="n"/>
      <c r="K156" s="217" t="n"/>
      <c r="L156" s="217" t="n"/>
      <c r="M156" s="217" t="n"/>
      <c r="N156" s="217" t="n"/>
      <c r="O156" s="217" t="n"/>
      <c r="P156" s="217" t="n"/>
      <c r="Q156" s="217" t="n"/>
      <c r="R156" s="217" t="n"/>
      <c r="S156" s="217" t="n"/>
      <c r="T156" s="217" t="n"/>
      <c r="U156" s="217" t="n"/>
      <c r="V156" s="217" t="n"/>
      <c r="W156" s="217" t="n"/>
      <c r="X156" s="217" t="n"/>
      <c r="Y156" s="217" t="n"/>
      <c r="Z156" s="217" t="n"/>
      <c r="AA156" s="217" t="n"/>
      <c r="AB156" s="217" t="n"/>
      <c r="AC156" s="217" t="n"/>
      <c r="AD156" s="217" t="n"/>
      <c r="AE156" s="217" t="n"/>
      <c r="AF156" s="217" t="n"/>
      <c r="AG156" s="220" t="n"/>
      <c r="AH156" s="221" t="n"/>
      <c r="AI156" s="423" t="n"/>
      <c r="AJ156" s="232">
        <f>SUM(E156:AI156)</f>
        <v/>
      </c>
      <c r="AK156" s="173">
        <f>AJ156*D156</f>
        <v/>
      </c>
    </row>
    <row r="157">
      <c r="A157" s="144" t="inlineStr">
        <is>
          <t>11. การติดต่อประสานงาน</t>
        </is>
      </c>
      <c r="B157" s="211" t="n"/>
      <c r="C157" s="212" t="n"/>
      <c r="D157" s="362" t="n"/>
      <c r="E157" s="211" t="n"/>
      <c r="F157" s="211" t="n"/>
      <c r="G157" s="211" t="n"/>
      <c r="H157" s="211" t="n"/>
      <c r="I157" s="211" t="n"/>
      <c r="J157" s="211" t="n"/>
      <c r="K157" s="211" t="n"/>
      <c r="L157" s="211" t="n"/>
      <c r="M157" s="211" t="n"/>
      <c r="N157" s="211" t="n"/>
      <c r="O157" s="211" t="n"/>
      <c r="P157" s="211" t="n"/>
      <c r="Q157" s="211" t="n"/>
      <c r="R157" s="211" t="n"/>
      <c r="S157" s="211" t="n"/>
      <c r="T157" s="211" t="n"/>
      <c r="U157" s="211" t="n"/>
      <c r="V157" s="211" t="n"/>
      <c r="W157" s="211" t="n"/>
      <c r="X157" s="211" t="n"/>
      <c r="Y157" s="211" t="n"/>
      <c r="Z157" s="211" t="n"/>
      <c r="AA157" s="211" t="n"/>
      <c r="AB157" s="211" t="n"/>
      <c r="AC157" s="211" t="n"/>
      <c r="AD157" s="211" t="n"/>
      <c r="AE157" s="211" t="n"/>
      <c r="AF157" s="211" t="n"/>
      <c r="AG157" s="213" t="n"/>
      <c r="AH157" s="213" t="n"/>
      <c r="AI157" s="214" t="n"/>
      <c r="AJ157" s="215" t="n"/>
      <c r="AK157" s="620" t="n"/>
    </row>
    <row r="158">
      <c r="A158" s="149" t="inlineStr">
        <is>
          <t xml:space="preserve">11.1 การติดต่อประสานงานภายใน รพ.ฯ </t>
        </is>
      </c>
      <c r="B158" s="217" t="inlineStr">
        <is>
          <t>ครั้ง</t>
        </is>
      </c>
      <c r="C158" s="218" t="n">
        <v>10</v>
      </c>
      <c r="D158" s="259">
        <f>C158*0.143</f>
        <v/>
      </c>
      <c r="E158" s="217" t="n"/>
      <c r="F158" s="217" t="n"/>
      <c r="G158" s="217" t="n"/>
      <c r="H158" s="217" t="n"/>
      <c r="I158" s="217" t="n"/>
      <c r="J158" s="217" t="n"/>
      <c r="K158" s="217" t="n"/>
      <c r="L158" s="217" t="n"/>
      <c r="M158" s="217" t="n"/>
      <c r="N158" s="217" t="n"/>
      <c r="O158" s="217" t="n"/>
      <c r="P158" s="217" t="n"/>
      <c r="Q158" s="217" t="n"/>
      <c r="R158" s="217" t="n"/>
      <c r="S158" s="217" t="n"/>
      <c r="T158" s="217" t="n"/>
      <c r="U158" s="217" t="n"/>
      <c r="V158" s="217" t="n"/>
      <c r="W158" s="217" t="n"/>
      <c r="X158" s="217" t="n"/>
      <c r="Y158" s="217" t="n"/>
      <c r="Z158" s="217" t="n"/>
      <c r="AA158" s="217" t="n"/>
      <c r="AB158" s="217" t="n"/>
      <c r="AC158" s="217" t="n"/>
      <c r="AD158" s="217" t="n"/>
      <c r="AE158" s="217" t="n"/>
      <c r="AF158" s="217" t="n"/>
      <c r="AG158" s="220" t="n"/>
      <c r="AH158" s="221" t="n"/>
      <c r="AI158" s="222" t="n"/>
      <c r="AJ158" s="223">
        <f>SUM(E158:AI158)</f>
        <v/>
      </c>
      <c r="AK158" s="154">
        <f>AJ158*D158</f>
        <v/>
      </c>
    </row>
    <row r="159">
      <c r="A159" s="155" t="inlineStr">
        <is>
          <t>11.2 การติดต่อประสานงานภายนอก รพ.ฯ</t>
        </is>
      </c>
      <c r="B159" s="217" t="inlineStr">
        <is>
          <t>ครั้ง</t>
        </is>
      </c>
      <c r="C159" s="218" t="n">
        <v>15</v>
      </c>
      <c r="D159" s="219">
        <f>C159*0.143</f>
        <v/>
      </c>
      <c r="E159" s="224" t="n"/>
      <c r="F159" s="224" t="n"/>
      <c r="G159" s="224" t="n"/>
      <c r="H159" s="224" t="n"/>
      <c r="I159" s="224" t="n"/>
      <c r="J159" s="224" t="n"/>
      <c r="K159" s="224" t="n"/>
      <c r="L159" s="224" t="n"/>
      <c r="M159" s="224" t="n"/>
      <c r="N159" s="224" t="n"/>
      <c r="O159" s="224" t="n"/>
      <c r="P159" s="224" t="n"/>
      <c r="Q159" s="224" t="n"/>
      <c r="R159" s="224" t="n"/>
      <c r="S159" s="224" t="n"/>
      <c r="T159" s="224" t="n"/>
      <c r="U159" s="224" t="n"/>
      <c r="V159" s="224" t="n"/>
      <c r="W159" s="224" t="n"/>
      <c r="X159" s="224" t="n"/>
      <c r="Y159" s="224" t="n"/>
      <c r="Z159" s="224" t="n"/>
      <c r="AA159" s="224" t="n"/>
      <c r="AB159" s="224" t="n"/>
      <c r="AC159" s="224" t="n"/>
      <c r="AD159" s="224" t="n"/>
      <c r="AE159" s="224" t="n"/>
      <c r="AF159" s="224" t="n"/>
      <c r="AG159" s="220" t="n"/>
      <c r="AH159" s="221" t="n"/>
      <c r="AI159" s="225" t="n"/>
      <c r="AJ159" s="170">
        <f>SUM(E159:AI159)</f>
        <v/>
      </c>
      <c r="AK159" s="157">
        <f>AJ159*D159</f>
        <v/>
      </c>
    </row>
    <row r="160" ht="25" customHeight="1">
      <c r="A160" s="158" t="inlineStr">
        <is>
          <t>การดูแลรายวิชา</t>
        </is>
      </c>
      <c r="B160" s="226" t="n"/>
      <c r="C160" s="227" t="n"/>
      <c r="D160" s="227" t="n"/>
      <c r="E160" s="363" t="n"/>
      <c r="F160" s="363" t="n"/>
      <c r="G160" s="363" t="n"/>
      <c r="H160" s="363" t="n"/>
      <c r="I160" s="363" t="n"/>
      <c r="J160" s="363" t="n"/>
      <c r="K160" s="363" t="n"/>
      <c r="L160" s="363" t="n"/>
      <c r="M160" s="363" t="n"/>
      <c r="N160" s="363" t="n"/>
      <c r="O160" s="363" t="n"/>
      <c r="P160" s="363" t="n"/>
      <c r="Q160" s="363" t="n"/>
      <c r="R160" s="363" t="n"/>
      <c r="S160" s="363" t="n"/>
      <c r="T160" s="363" t="n"/>
      <c r="U160" s="363" t="n"/>
      <c r="V160" s="363" t="n"/>
      <c r="W160" s="363" t="n"/>
      <c r="X160" s="363" t="n"/>
      <c r="Y160" s="363" t="n"/>
      <c r="Z160" s="363" t="n"/>
      <c r="AA160" s="363" t="n"/>
      <c r="AB160" s="363" t="n"/>
      <c r="AC160" s="363" t="n"/>
      <c r="AD160" s="363" t="n"/>
      <c r="AE160" s="363" t="n"/>
      <c r="AF160" s="363" t="n"/>
      <c r="AG160" s="363" t="n"/>
      <c r="AH160" s="363" t="n"/>
      <c r="AI160" s="363" t="n"/>
      <c r="AJ160" s="215" t="n"/>
      <c r="AK160" s="620" t="n"/>
    </row>
    <row r="161" ht="25" customHeight="1">
      <c r="A161" s="162" t="inlineStr">
        <is>
          <t>1.จัดทำ มคอ. คู่มือ เอกสารในรายวิชา (ปีละ 1 ครั้ง)</t>
        </is>
      </c>
      <c r="B161" s="169" t="inlineStr">
        <is>
          <t>รายวิชา</t>
        </is>
      </c>
      <c r="C161" s="169" t="inlineStr">
        <is>
          <t>เหมา</t>
        </is>
      </c>
      <c r="D161" s="169" t="n">
        <v>300</v>
      </c>
      <c r="E161" s="368" t="n"/>
      <c r="F161" s="368" t="n"/>
      <c r="G161" s="368" t="n"/>
      <c r="H161" s="368" t="n"/>
      <c r="I161" s="368" t="n"/>
      <c r="J161" s="368" t="n"/>
      <c r="K161" s="368" t="n"/>
      <c r="L161" s="368" t="n"/>
      <c r="M161" s="368" t="n"/>
      <c r="N161" s="368" t="n"/>
      <c r="O161" s="368" t="n"/>
      <c r="P161" s="368" t="n"/>
      <c r="Q161" s="368" t="n"/>
      <c r="R161" s="368" t="n"/>
      <c r="S161" s="368" t="n"/>
      <c r="T161" s="368" t="n"/>
      <c r="U161" s="368" t="n"/>
      <c r="V161" s="368" t="n"/>
      <c r="W161" s="368" t="n"/>
      <c r="X161" s="368" t="n"/>
      <c r="Y161" s="368" t="n"/>
      <c r="Z161" s="368" t="n"/>
      <c r="AA161" s="368" t="n"/>
      <c r="AB161" s="368" t="n"/>
      <c r="AC161" s="368" t="n"/>
      <c r="AD161" s="368" t="n"/>
      <c r="AE161" s="368" t="n"/>
      <c r="AF161" s="368" t="n"/>
      <c r="AG161" s="368" t="n"/>
      <c r="AH161" s="368" t="n"/>
      <c r="AI161" s="368" t="n"/>
      <c r="AJ161" s="170">
        <f>SUM(E161:AI161)</f>
        <v/>
      </c>
      <c r="AK161" s="157">
        <f>AJ161*D161</f>
        <v/>
      </c>
    </row>
    <row r="162" ht="25" customHeight="1">
      <c r="A162" s="164" t="inlineStr">
        <is>
          <r>
            <t>2.การ</t>
          </r>
          <r>
            <rPr>
              <rFont val="TH SarabunPSK"/>
              <family val="2"/>
              <sz val="16"/>
            </rPr>
            <t>ขอ</t>
          </r>
          <r>
            <rPr>
              <rFont val="TH SarabunPSK"/>
              <family val="2"/>
              <color rgb="FFFF0000"/>
              <sz val="16"/>
            </rPr>
            <t>อนุมัติ</t>
          </r>
          <r>
            <rPr>
              <rFont val="TH SarabunPSK"/>
              <family val="2"/>
              <color theme="1"/>
              <sz val="16"/>
            </rPr>
            <t>ใช้ห้อง</t>
          </r>
          <r>
            <rPr>
              <rFont val="TH SarabunPSK"/>
              <family val="2"/>
              <color rgb="FFFF0000"/>
              <sz val="16"/>
            </rPr>
            <t>เรียน</t>
          </r>
          <r>
            <rPr>
              <rFont val="TH SarabunPSK"/>
              <family val="2"/>
              <color theme="1"/>
              <sz val="16"/>
            </rPr>
            <t xml:space="preserve"> ห้องประชุม </t>
          </r>
          <r>
            <rPr>
              <rFont val="TH SarabunPSK"/>
              <family val="2"/>
              <color theme="1"/>
              <sz val="16"/>
              <u val="single"/>
            </rPr>
            <t>ห้องฝึกปฏิบัติการ</t>
          </r>
        </is>
      </c>
      <c r="B162" s="168" t="inlineStr">
        <is>
          <t>ครั้ง</t>
        </is>
      </c>
      <c r="C162" s="168" t="n">
        <v>5</v>
      </c>
      <c r="D162" s="166">
        <f>C162*0.143</f>
        <v/>
      </c>
      <c r="E162" s="368" t="n"/>
      <c r="F162" s="368" t="n"/>
      <c r="G162" s="368" t="n"/>
      <c r="H162" s="368" t="n"/>
      <c r="I162" s="368" t="n"/>
      <c r="J162" s="368" t="n"/>
      <c r="K162" s="368" t="n"/>
      <c r="L162" s="368" t="n"/>
      <c r="M162" s="368" t="n"/>
      <c r="N162" s="368" t="n"/>
      <c r="O162" s="368" t="n"/>
      <c r="P162" s="368" t="n"/>
      <c r="Q162" s="368" t="n"/>
      <c r="R162" s="368" t="n"/>
      <c r="S162" s="368" t="n"/>
      <c r="T162" s="368" t="n"/>
      <c r="U162" s="368" t="n"/>
      <c r="V162" s="368" t="n"/>
      <c r="W162" s="368" t="n"/>
      <c r="X162" s="368" t="n"/>
      <c r="Y162" s="368" t="n"/>
      <c r="Z162" s="368" t="n"/>
      <c r="AA162" s="368" t="n"/>
      <c r="AB162" s="368" t="n"/>
      <c r="AC162" s="368" t="n"/>
      <c r="AD162" s="368" t="n"/>
      <c r="AE162" s="368" t="n"/>
      <c r="AF162" s="368" t="n"/>
      <c r="AG162" s="368" t="n"/>
      <c r="AH162" s="368" t="n"/>
      <c r="AI162" s="368" t="n"/>
      <c r="AJ162" s="170">
        <f>SUM(E162:AI162)</f>
        <v/>
      </c>
      <c r="AK162" s="157">
        <f>AJ162*D162</f>
        <v/>
      </c>
    </row>
    <row r="163" ht="25" customHeight="1">
      <c r="A163" s="235" t="inlineStr">
        <is>
          <t>3.รวบรวมข้อมูลในการจัดทำการประเมินทางดิจิทัล</t>
        </is>
      </c>
      <c r="B163" s="168" t="inlineStr">
        <is>
          <t>ครั้ง</t>
        </is>
      </c>
      <c r="C163" s="169" t="n">
        <v>60</v>
      </c>
      <c r="D163" s="169">
        <f>C163*0.143</f>
        <v/>
      </c>
      <c r="E163" s="368" t="n"/>
      <c r="F163" s="368" t="n"/>
      <c r="G163" s="368" t="n"/>
      <c r="H163" s="368" t="n"/>
      <c r="I163" s="368" t="n"/>
      <c r="J163" s="368" t="n"/>
      <c r="K163" s="368" t="n"/>
      <c r="L163" s="368" t="n"/>
      <c r="M163" s="368" t="n"/>
      <c r="N163" s="368" t="n"/>
      <c r="O163" s="368" t="n"/>
      <c r="P163" s="368" t="n"/>
      <c r="Q163" s="368" t="n"/>
      <c r="R163" s="368" t="n"/>
      <c r="S163" s="368" t="n"/>
      <c r="T163" s="368" t="n"/>
      <c r="U163" s="368" t="n"/>
      <c r="V163" s="368" t="n"/>
      <c r="W163" s="368" t="n"/>
      <c r="X163" s="368" t="n"/>
      <c r="Y163" s="368" t="n"/>
      <c r="Z163" s="368" t="n"/>
      <c r="AA163" s="368" t="n"/>
      <c r="AB163" s="368" t="n"/>
      <c r="AC163" s="368" t="n"/>
      <c r="AD163" s="368" t="n"/>
      <c r="AE163" s="368" t="n"/>
      <c r="AF163" s="368" t="n"/>
      <c r="AG163" s="368" t="n"/>
      <c r="AH163" s="368" t="n"/>
      <c r="AI163" s="368" t="n"/>
      <c r="AJ163" s="170">
        <f>SUM(E163:AI163)</f>
        <v/>
      </c>
      <c r="AK163" s="157">
        <f>AJ163*D163</f>
        <v/>
      </c>
    </row>
    <row r="164" ht="25" customHeight="1">
      <c r="A164" s="176" t="inlineStr">
        <is>
          <t>4.ประสานงานกับระบบ REXX</t>
        </is>
      </c>
      <c r="B164" s="168" t="inlineStr">
        <is>
          <t>ครั้ง</t>
        </is>
      </c>
      <c r="C164" s="169" t="n">
        <v>10</v>
      </c>
      <c r="D164" s="169">
        <f>C164*0.143</f>
        <v/>
      </c>
      <c r="E164" s="368" t="n"/>
      <c r="F164" s="368" t="n"/>
      <c r="G164" s="368" t="n"/>
      <c r="H164" s="368" t="n"/>
      <c r="I164" s="368" t="n"/>
      <c r="J164" s="368" t="n"/>
      <c r="K164" s="368" t="n"/>
      <c r="L164" s="368" t="n"/>
      <c r="M164" s="368" t="n"/>
      <c r="N164" s="368" t="n"/>
      <c r="O164" s="368" t="n"/>
      <c r="P164" s="368" t="n"/>
      <c r="Q164" s="368" t="n"/>
      <c r="R164" s="368" t="n"/>
      <c r="S164" s="368" t="n"/>
      <c r="T164" s="368" t="n"/>
      <c r="U164" s="368" t="n"/>
      <c r="V164" s="368" t="n"/>
      <c r="W164" s="368" t="n"/>
      <c r="X164" s="368" t="n"/>
      <c r="Y164" s="368" t="n"/>
      <c r="Z164" s="368" t="n"/>
      <c r="AA164" s="368" t="n"/>
      <c r="AB164" s="368" t="n"/>
      <c r="AC164" s="368" t="n"/>
      <c r="AD164" s="368" t="n"/>
      <c r="AE164" s="368" t="n"/>
      <c r="AF164" s="368" t="n"/>
      <c r="AG164" s="368" t="n"/>
      <c r="AH164" s="368" t="n"/>
      <c r="AI164" s="368" t="n"/>
      <c r="AJ164" s="170">
        <f>SUM(E164:AI164)</f>
        <v/>
      </c>
      <c r="AK164" s="157">
        <f>AJ164*D164</f>
        <v/>
      </c>
    </row>
    <row r="165" ht="50" customHeight="1">
      <c r="A165" s="162" t="inlineStr">
        <is>
          <r>
            <t xml:space="preserve">5.เบิกและจัดเตรียมอุปกรณ์เพื่อใช้ในการเรียนการสอนของนิสิต </t>
          </r>
          <r>
            <rPr>
              <rFont val="TH SarabunPSK"/>
              <family val="2"/>
              <b val="1"/>
              <color rgb="FFFF0000"/>
              <sz val="16"/>
            </rPr>
            <t>(ก่อนสอน) งบประมาณ</t>
          </r>
        </is>
      </c>
      <c r="B165" s="168" t="inlineStr">
        <is>
          <t>ครั้ง</t>
        </is>
      </c>
      <c r="C165" s="169" t="n">
        <v>60</v>
      </c>
      <c r="D165" s="169">
        <f>C165*0.143</f>
        <v/>
      </c>
      <c r="E165" s="368" t="n"/>
      <c r="F165" s="368" t="n"/>
      <c r="G165" s="368" t="n"/>
      <c r="H165" s="368" t="n"/>
      <c r="I165" s="368" t="n"/>
      <c r="J165" s="368" t="n"/>
      <c r="K165" s="368" t="n"/>
      <c r="L165" s="368" t="n"/>
      <c r="M165" s="368" t="n"/>
      <c r="N165" s="368" t="n"/>
      <c r="O165" s="368" t="n"/>
      <c r="P165" s="368" t="n"/>
      <c r="Q165" s="368" t="n"/>
      <c r="R165" s="368" t="n"/>
      <c r="S165" s="368" t="n"/>
      <c r="T165" s="368" t="n"/>
      <c r="U165" s="368" t="n"/>
      <c r="V165" s="368" t="n"/>
      <c r="W165" s="368" t="n"/>
      <c r="X165" s="368" t="n"/>
      <c r="Y165" s="368" t="n"/>
      <c r="Z165" s="368" t="n"/>
      <c r="AA165" s="368" t="n"/>
      <c r="AB165" s="368" t="n"/>
      <c r="AC165" s="368" t="n"/>
      <c r="AD165" s="368" t="n"/>
      <c r="AE165" s="368" t="n"/>
      <c r="AF165" s="368" t="n"/>
      <c r="AG165" s="368" t="n"/>
      <c r="AH165" s="368" t="n"/>
      <c r="AI165" s="368" t="n"/>
      <c r="AJ165" s="170">
        <f>SUM(E165:AI165)</f>
        <v/>
      </c>
      <c r="AK165" s="157">
        <f>AJ165*D165</f>
        <v/>
      </c>
    </row>
    <row r="166" ht="50" customHeight="1">
      <c r="A166" s="162" t="inlineStr">
        <is>
          <r>
            <t xml:space="preserve">6.เบิกและจัดเตรียมอุปกรณ์เพื่อใช้ในการเรียนการสอนของนิสิต </t>
          </r>
          <r>
            <rPr>
              <rFont val="TH SarabunPSK"/>
              <family val="2"/>
              <b val="1"/>
              <color rgb="FF00B050"/>
              <sz val="16"/>
            </rPr>
            <t>(หลังสอน)</t>
          </r>
        </is>
      </c>
      <c r="B166" s="168" t="inlineStr">
        <is>
          <t>ครั้ง</t>
        </is>
      </c>
      <c r="C166" s="169" t="n">
        <v>90</v>
      </c>
      <c r="D166" s="169">
        <f>C166*0.143</f>
        <v/>
      </c>
      <c r="E166" s="368" t="n"/>
      <c r="F166" s="368" t="n"/>
      <c r="G166" s="368" t="n"/>
      <c r="H166" s="368" t="n"/>
      <c r="I166" s="368" t="n"/>
      <c r="J166" s="368" t="n"/>
      <c r="K166" s="368" t="n"/>
      <c r="L166" s="368" t="n"/>
      <c r="M166" s="368" t="n"/>
      <c r="N166" s="368" t="n"/>
      <c r="O166" s="368" t="n"/>
      <c r="P166" s="368" t="n"/>
      <c r="Q166" s="368" t="n"/>
      <c r="R166" s="368" t="n"/>
      <c r="S166" s="368" t="n"/>
      <c r="T166" s="368" t="n"/>
      <c r="U166" s="368" t="n"/>
      <c r="V166" s="368" t="n"/>
      <c r="W166" s="368" t="n"/>
      <c r="X166" s="368" t="n"/>
      <c r="Y166" s="368" t="n"/>
      <c r="Z166" s="368" t="n"/>
      <c r="AA166" s="368" t="n"/>
      <c r="AB166" s="368" t="n"/>
      <c r="AC166" s="368" t="n"/>
      <c r="AD166" s="368" t="n"/>
      <c r="AE166" s="368" t="n"/>
      <c r="AF166" s="368" t="n"/>
      <c r="AG166" s="368" t="n"/>
      <c r="AH166" s="368" t="n"/>
      <c r="AI166" s="368" t="n"/>
      <c r="AJ166" s="170">
        <f>SUM(E166:AI166)</f>
        <v/>
      </c>
      <c r="AK166" s="157">
        <f>AJ166*D166</f>
        <v/>
      </c>
    </row>
    <row r="167" ht="50" customHeight="1">
      <c r="A167" s="162" t="inlineStr">
        <is>
          <t>7.เชคยอดนิสิต ดูแลและประสานงานนิสิตในการเข้าเรียน การลาเรียน</t>
        </is>
      </c>
      <c r="B167" s="168" t="inlineStr">
        <is>
          <t>ครั้ง</t>
        </is>
      </c>
      <c r="C167" s="169" t="n">
        <v>10</v>
      </c>
      <c r="D167" s="169">
        <f>C167*0.143</f>
        <v/>
      </c>
      <c r="E167" s="368" t="n"/>
      <c r="F167" s="368" t="n"/>
      <c r="G167" s="368" t="n"/>
      <c r="H167" s="368" t="n"/>
      <c r="I167" s="368" t="n"/>
      <c r="J167" s="368" t="n"/>
      <c r="K167" s="368" t="n"/>
      <c r="L167" s="368" t="n"/>
      <c r="M167" s="368" t="n"/>
      <c r="N167" s="368" t="n"/>
      <c r="O167" s="368" t="n"/>
      <c r="P167" s="368" t="n"/>
      <c r="Q167" s="368" t="n"/>
      <c r="R167" s="368" t="n"/>
      <c r="S167" s="368" t="n"/>
      <c r="T167" s="368" t="n"/>
      <c r="U167" s="368" t="n"/>
      <c r="V167" s="368" t="n"/>
      <c r="W167" s="368" t="n"/>
      <c r="X167" s="368" t="n"/>
      <c r="Y167" s="368" t="n"/>
      <c r="Z167" s="368" t="n"/>
      <c r="AA167" s="368" t="n"/>
      <c r="AB167" s="368" t="n"/>
      <c r="AC167" s="368" t="n"/>
      <c r="AD167" s="368" t="n"/>
      <c r="AE167" s="368" t="n"/>
      <c r="AF167" s="368" t="n"/>
      <c r="AG167" s="368" t="n"/>
      <c r="AH167" s="368" t="n"/>
      <c r="AI167" s="368" t="n"/>
      <c r="AJ167" s="170">
        <f>SUM(E167:AI167)</f>
        <v/>
      </c>
      <c r="AK167" s="157">
        <f>AJ167*D167</f>
        <v/>
      </c>
    </row>
    <row r="168" ht="25" customHeight="1">
      <c r="A168" s="162" t="inlineStr">
        <is>
          <t>8.นำข้อสอบ MCQ เข้าระบบสอบอิเลคทรอนิกส์</t>
        </is>
      </c>
      <c r="B168" s="168" t="inlineStr">
        <is>
          <t>วิชา</t>
        </is>
      </c>
      <c r="C168" s="169" t="n">
        <v>60</v>
      </c>
      <c r="D168" s="169">
        <f>C168*0.143</f>
        <v/>
      </c>
      <c r="E168" s="368" t="n"/>
      <c r="F168" s="368" t="n"/>
      <c r="G168" s="368" t="n"/>
      <c r="H168" s="368" t="n"/>
      <c r="I168" s="368" t="n"/>
      <c r="J168" s="368" t="n"/>
      <c r="K168" s="368" t="n"/>
      <c r="L168" s="368" t="n"/>
      <c r="M168" s="368" t="n"/>
      <c r="N168" s="368" t="n"/>
      <c r="O168" s="368" t="n"/>
      <c r="P168" s="368" t="n"/>
      <c r="Q168" s="368" t="n"/>
      <c r="R168" s="368" t="n"/>
      <c r="S168" s="368" t="n"/>
      <c r="T168" s="368" t="n"/>
      <c r="U168" s="368" t="n"/>
      <c r="V168" s="368" t="n"/>
      <c r="W168" s="368" t="n"/>
      <c r="X168" s="368" t="n"/>
      <c r="Y168" s="368" t="n"/>
      <c r="Z168" s="368" t="n"/>
      <c r="AA168" s="368" t="n"/>
      <c r="AB168" s="368" t="n"/>
      <c r="AC168" s="368" t="n"/>
      <c r="AD168" s="368" t="n"/>
      <c r="AE168" s="368" t="n"/>
      <c r="AF168" s="368" t="n"/>
      <c r="AG168" s="368" t="n"/>
      <c r="AH168" s="368" t="n"/>
      <c r="AI168" s="368" t="n"/>
      <c r="AJ168" s="170">
        <f>SUM(E168:AI168)</f>
        <v/>
      </c>
      <c r="AK168" s="157">
        <f>AJ168*D168</f>
        <v/>
      </c>
    </row>
    <row r="169" ht="25" customHeight="1">
      <c r="A169" s="162" t="inlineStr">
        <is>
          <t>9.จัดทำเอกสารข้อสอบ MEQ, CRQ, OSCE</t>
        </is>
      </c>
      <c r="B169" s="168" t="inlineStr">
        <is>
          <t>วิชา</t>
        </is>
      </c>
      <c r="C169" s="169" t="n">
        <v>60</v>
      </c>
      <c r="D169" s="169">
        <f>C169*0.143</f>
        <v/>
      </c>
      <c r="E169" s="368" t="n"/>
      <c r="F169" s="368" t="n"/>
      <c r="G169" s="368" t="n"/>
      <c r="H169" s="368" t="n"/>
      <c r="I169" s="368" t="n"/>
      <c r="J169" s="368" t="n"/>
      <c r="K169" s="368" t="n"/>
      <c r="L169" s="368" t="n"/>
      <c r="M169" s="368" t="n"/>
      <c r="N169" s="368" t="n"/>
      <c r="O169" s="368" t="n"/>
      <c r="P169" s="368" t="n"/>
      <c r="Q169" s="368" t="n"/>
      <c r="R169" s="368" t="n"/>
      <c r="S169" s="368" t="n"/>
      <c r="T169" s="368" t="n"/>
      <c r="U169" s="368" t="n"/>
      <c r="V169" s="368" t="n"/>
      <c r="W169" s="368" t="n"/>
      <c r="X169" s="368" t="n"/>
      <c r="Y169" s="368" t="n"/>
      <c r="Z169" s="368" t="n"/>
      <c r="AA169" s="368" t="n"/>
      <c r="AB169" s="368" t="n"/>
      <c r="AC169" s="368" t="n"/>
      <c r="AD169" s="368" t="n"/>
      <c r="AE169" s="368" t="n"/>
      <c r="AF169" s="368" t="n"/>
      <c r="AG169" s="368" t="n"/>
      <c r="AH169" s="368" t="n"/>
      <c r="AI169" s="368" t="n"/>
      <c r="AJ169" s="170">
        <f>SUM(E169:AI169)</f>
        <v/>
      </c>
      <c r="AK169" s="157">
        <f>AJ169*D169</f>
        <v/>
      </c>
    </row>
    <row r="170" ht="25" customHeight="1">
      <c r="A170" s="171" t="inlineStr">
        <is>
          <t>10.รวบรวมคะแนน ตัดเกรด (ไม่เกิน 2 วันต่อรายวิชา)</t>
        </is>
      </c>
      <c r="B170" s="168" t="inlineStr">
        <is>
          <t>วิชา</t>
        </is>
      </c>
      <c r="C170" s="169" t="inlineStr">
        <is>
          <t>เหมา/วัน</t>
        </is>
      </c>
      <c r="D170" s="169" t="n">
        <v>60</v>
      </c>
      <c r="E170" s="368" t="n"/>
      <c r="F170" s="368" t="n"/>
      <c r="G170" s="368" t="n"/>
      <c r="H170" s="368" t="n"/>
      <c r="I170" s="368" t="n"/>
      <c r="J170" s="368" t="n"/>
      <c r="K170" s="368" t="n"/>
      <c r="L170" s="368" t="n"/>
      <c r="M170" s="368" t="n"/>
      <c r="N170" s="368" t="n"/>
      <c r="O170" s="368" t="n"/>
      <c r="P170" s="368" t="n"/>
      <c r="Q170" s="368" t="n"/>
      <c r="R170" s="368" t="n"/>
      <c r="S170" s="368" t="n"/>
      <c r="T170" s="368" t="n"/>
      <c r="U170" s="368" t="n"/>
      <c r="V170" s="368" t="n"/>
      <c r="W170" s="368" t="n"/>
      <c r="X170" s="368" t="n"/>
      <c r="Y170" s="368" t="n"/>
      <c r="Z170" s="368" t="n"/>
      <c r="AA170" s="368" t="n"/>
      <c r="AB170" s="368" t="n"/>
      <c r="AC170" s="368" t="n"/>
      <c r="AD170" s="368" t="n"/>
      <c r="AE170" s="368" t="n"/>
      <c r="AF170" s="368" t="n"/>
      <c r="AG170" s="368" t="n"/>
      <c r="AH170" s="368" t="n"/>
      <c r="AI170" s="368" t="n"/>
      <c r="AJ170" s="170">
        <f>SUM(E170:AI170)</f>
        <v/>
      </c>
      <c r="AK170" s="157">
        <f>AJ170*D170</f>
        <v/>
      </c>
    </row>
    <row r="171" ht="25" customHeight="1">
      <c r="A171" s="171" t="inlineStr">
        <is>
          <t>11.เตรียมเอกสาร ไฟล์ประกอบการสอน</t>
        </is>
      </c>
      <c r="B171" s="168" t="inlineStr">
        <is>
          <t>เอกสาร</t>
        </is>
      </c>
      <c r="C171" s="169" t="n">
        <v>10</v>
      </c>
      <c r="D171" s="169">
        <f>C171*0.143</f>
        <v/>
      </c>
      <c r="E171" s="368" t="n"/>
      <c r="F171" s="368" t="n"/>
      <c r="G171" s="368" t="n"/>
      <c r="H171" s="368" t="n"/>
      <c r="I171" s="368" t="n"/>
      <c r="J171" s="368" t="n"/>
      <c r="K171" s="368" t="n"/>
      <c r="L171" s="368" t="n"/>
      <c r="M171" s="368" t="n"/>
      <c r="N171" s="368" t="n"/>
      <c r="O171" s="368" t="n"/>
      <c r="P171" s="368" t="n"/>
      <c r="Q171" s="368" t="n"/>
      <c r="R171" s="368" t="n"/>
      <c r="S171" s="368" t="n"/>
      <c r="T171" s="368" t="n"/>
      <c r="U171" s="368" t="n"/>
      <c r="V171" s="368" t="n"/>
      <c r="W171" s="368" t="n"/>
      <c r="X171" s="368" t="n"/>
      <c r="Y171" s="368" t="n"/>
      <c r="Z171" s="368" t="n"/>
      <c r="AA171" s="368" t="n"/>
      <c r="AB171" s="368" t="n"/>
      <c r="AC171" s="368" t="n"/>
      <c r="AD171" s="368" t="n"/>
      <c r="AE171" s="368" t="n"/>
      <c r="AF171" s="368" t="n"/>
      <c r="AG171" s="368" t="n"/>
      <c r="AH171" s="368" t="n"/>
      <c r="AI171" s="368" t="n"/>
      <c r="AJ171" s="170">
        <f>SUM(E171:AI171)</f>
        <v/>
      </c>
      <c r="AK171" s="157">
        <f>AJ171*D171</f>
        <v/>
      </c>
    </row>
    <row r="172" ht="25" customHeight="1">
      <c r="A172" s="171" t="inlineStr">
        <is>
          <t>12.ปรับเอกสาร ไฟล์ประกอบการสอน</t>
        </is>
      </c>
      <c r="B172" s="168" t="inlineStr">
        <is>
          <t>เอกสาร</t>
        </is>
      </c>
      <c r="C172" s="169" t="n">
        <v>30</v>
      </c>
      <c r="D172" s="169">
        <f>C172*0.143</f>
        <v/>
      </c>
      <c r="E172" s="368" t="n"/>
      <c r="F172" s="368" t="n"/>
      <c r="G172" s="368" t="n"/>
      <c r="H172" s="368" t="n"/>
      <c r="I172" s="368" t="n"/>
      <c r="J172" s="368" t="n"/>
      <c r="K172" s="368" t="n"/>
      <c r="L172" s="368" t="n"/>
      <c r="M172" s="368" t="n"/>
      <c r="N172" s="368" t="n"/>
      <c r="O172" s="368" t="n"/>
      <c r="P172" s="368" t="n"/>
      <c r="Q172" s="368" t="n"/>
      <c r="R172" s="368" t="n"/>
      <c r="S172" s="368" t="n"/>
      <c r="T172" s="368" t="n"/>
      <c r="U172" s="368" t="n"/>
      <c r="V172" s="368" t="n"/>
      <c r="W172" s="368" t="n"/>
      <c r="X172" s="368" t="n"/>
      <c r="Y172" s="368" t="n"/>
      <c r="Z172" s="368" t="n"/>
      <c r="AA172" s="368" t="n"/>
      <c r="AB172" s="368" t="n"/>
      <c r="AC172" s="368" t="n"/>
      <c r="AD172" s="368" t="n"/>
      <c r="AE172" s="368" t="n"/>
      <c r="AF172" s="368" t="n"/>
      <c r="AG172" s="368" t="n"/>
      <c r="AH172" s="368" t="n"/>
      <c r="AI172" s="368" t="n"/>
      <c r="AJ172" s="170">
        <f>SUM(E172:AI172)</f>
        <v/>
      </c>
      <c r="AK172" s="157">
        <f>AJ172*D172</f>
        <v/>
      </c>
    </row>
    <row r="173" ht="25" customHeight="1">
      <c r="A173" s="171" t="inlineStr">
        <is>
          <t>13.จัดห้องสอบปกติและการสอบซ่อม</t>
        </is>
      </c>
      <c r="B173" s="169" t="inlineStr">
        <is>
          <t>ครั้ง</t>
        </is>
      </c>
      <c r="C173" s="169" t="n">
        <v>30</v>
      </c>
      <c r="D173" s="169">
        <f>C173*0.143</f>
        <v/>
      </c>
      <c r="E173" s="368" t="n"/>
      <c r="F173" s="368" t="n"/>
      <c r="G173" s="368" t="n"/>
      <c r="H173" s="368" t="n"/>
      <c r="I173" s="368" t="n"/>
      <c r="J173" s="368" t="n"/>
      <c r="K173" s="368" t="n"/>
      <c r="L173" s="368" t="n"/>
      <c r="M173" s="368" t="n"/>
      <c r="N173" s="368" t="n"/>
      <c r="O173" s="368" t="n"/>
      <c r="P173" s="368" t="n"/>
      <c r="Q173" s="368" t="n"/>
      <c r="R173" s="368" t="n"/>
      <c r="S173" s="368" t="n"/>
      <c r="T173" s="368" t="n"/>
      <c r="U173" s="368" t="n"/>
      <c r="V173" s="368" t="n"/>
      <c r="W173" s="368" t="n"/>
      <c r="X173" s="368" t="n"/>
      <c r="Y173" s="368" t="n"/>
      <c r="Z173" s="368" t="n"/>
      <c r="AA173" s="368" t="n"/>
      <c r="AB173" s="368" t="n"/>
      <c r="AC173" s="368" t="n"/>
      <c r="AD173" s="368" t="n"/>
      <c r="AE173" s="368" t="n"/>
      <c r="AF173" s="368" t="n"/>
      <c r="AG173" s="368" t="n"/>
      <c r="AH173" s="368" t="n"/>
      <c r="AI173" s="368" t="n"/>
      <c r="AJ173" s="170">
        <f>SUM(E173:AI173)</f>
        <v/>
      </c>
      <c r="AK173" s="157">
        <f>AJ173*D173</f>
        <v/>
      </c>
    </row>
    <row r="174" ht="25" customHeight="1">
      <c r="A174" s="171" t="inlineStr">
        <is>
          <t>14.คุมสอบข้อเขียน</t>
        </is>
      </c>
      <c r="B174" s="169" t="inlineStr">
        <is>
          <t>ครั้ง</t>
        </is>
      </c>
      <c r="C174" s="169" t="n">
        <v>90</v>
      </c>
      <c r="D174" s="169">
        <f>C174*0.143</f>
        <v/>
      </c>
      <c r="E174" s="368" t="n"/>
      <c r="F174" s="368" t="n"/>
      <c r="G174" s="368" t="n"/>
      <c r="H174" s="368" t="n"/>
      <c r="I174" s="368" t="n"/>
      <c r="J174" s="368" t="n"/>
      <c r="K174" s="368" t="n"/>
      <c r="L174" s="368" t="n"/>
      <c r="M174" s="368" t="n"/>
      <c r="N174" s="368" t="n"/>
      <c r="O174" s="368" t="n"/>
      <c r="P174" s="368" t="n"/>
      <c r="Q174" s="368" t="n"/>
      <c r="R174" s="368" t="n"/>
      <c r="S174" s="368" t="n"/>
      <c r="T174" s="368" t="n"/>
      <c r="U174" s="368" t="n"/>
      <c r="V174" s="368" t="n"/>
      <c r="W174" s="368" t="n"/>
      <c r="X174" s="368" t="n"/>
      <c r="Y174" s="368" t="n"/>
      <c r="Z174" s="368" t="n"/>
      <c r="AA174" s="368" t="n"/>
      <c r="AB174" s="368" t="n"/>
      <c r="AC174" s="368" t="n"/>
      <c r="AD174" s="368" t="n"/>
      <c r="AE174" s="368" t="n"/>
      <c r="AF174" s="368" t="n"/>
      <c r="AG174" s="368" t="n"/>
      <c r="AH174" s="368" t="n"/>
      <c r="AI174" s="368" t="n"/>
      <c r="AJ174" s="170">
        <f>SUM(E174:AI174)</f>
        <v/>
      </c>
      <c r="AK174" s="157">
        <f>AJ174*D174</f>
        <v/>
      </c>
    </row>
    <row r="175" ht="25" customHeight="1">
      <c r="A175" s="171" t="inlineStr">
        <is>
          <t>15.คุมสอบ OSCE</t>
        </is>
      </c>
      <c r="B175" s="169" t="inlineStr">
        <is>
          <t>ครั้ง</t>
        </is>
      </c>
      <c r="C175" s="169" t="inlineStr">
        <is>
          <t>เหมาวัน</t>
        </is>
      </c>
      <c r="D175" s="169" t="n">
        <v>30</v>
      </c>
      <c r="E175" s="368" t="n"/>
      <c r="F175" s="368" t="n"/>
      <c r="G175" s="368" t="n"/>
      <c r="H175" s="368" t="n"/>
      <c r="I175" s="368" t="n"/>
      <c r="J175" s="368" t="n"/>
      <c r="K175" s="368" t="n"/>
      <c r="L175" s="368" t="n"/>
      <c r="M175" s="368" t="n"/>
      <c r="N175" s="368" t="n"/>
      <c r="O175" s="368" t="n"/>
      <c r="P175" s="368" t="n"/>
      <c r="Q175" s="368" t="n"/>
      <c r="R175" s="368" t="n"/>
      <c r="S175" s="368" t="n"/>
      <c r="T175" s="368" t="n"/>
      <c r="U175" s="368" t="n"/>
      <c r="V175" s="368" t="n"/>
      <c r="W175" s="368" t="n"/>
      <c r="X175" s="368" t="n"/>
      <c r="Y175" s="368" t="n"/>
      <c r="Z175" s="368" t="n"/>
      <c r="AA175" s="368" t="n"/>
      <c r="AB175" s="368" t="n"/>
      <c r="AC175" s="368" t="n"/>
      <c r="AD175" s="368" t="n"/>
      <c r="AE175" s="368" t="n"/>
      <c r="AF175" s="368" t="n"/>
      <c r="AG175" s="368" t="n"/>
      <c r="AH175" s="368" t="n"/>
      <c r="AI175" s="368" t="n"/>
      <c r="AJ175" s="170">
        <f>SUM(E175:AI175)</f>
        <v/>
      </c>
      <c r="AK175" s="157">
        <f>AJ175*D175</f>
        <v/>
      </c>
    </row>
    <row r="176" ht="25" customHeight="1">
      <c r="A176" s="171" t="inlineStr">
        <is>
          <t>16.จัดทำ มคอ. 5 (วิชาละ 1 เล่ม/ปี)</t>
        </is>
      </c>
      <c r="B176" s="169" t="inlineStr">
        <is>
          <t>วิชา</t>
        </is>
      </c>
      <c r="C176" s="169" t="n">
        <v>60</v>
      </c>
      <c r="D176" s="169">
        <f>C176*0.143</f>
        <v/>
      </c>
      <c r="E176" s="368" t="n"/>
      <c r="F176" s="368" t="n"/>
      <c r="G176" s="368" t="n"/>
      <c r="H176" s="368" t="n"/>
      <c r="I176" s="368" t="n"/>
      <c r="J176" s="368" t="n"/>
      <c r="K176" s="368" t="n"/>
      <c r="L176" s="368" t="n"/>
      <c r="M176" s="368" t="n"/>
      <c r="N176" s="368" t="n"/>
      <c r="O176" s="368" t="n"/>
      <c r="P176" s="368" t="n"/>
      <c r="Q176" s="368" t="n"/>
      <c r="R176" s="368" t="n"/>
      <c r="S176" s="368" t="n"/>
      <c r="T176" s="368" t="n"/>
      <c r="U176" s="368" t="n"/>
      <c r="V176" s="368" t="n"/>
      <c r="W176" s="368" t="n"/>
      <c r="X176" s="368" t="n"/>
      <c r="Y176" s="368" t="n"/>
      <c r="Z176" s="368" t="n"/>
      <c r="AA176" s="368" t="n"/>
      <c r="AB176" s="368" t="n"/>
      <c r="AC176" s="368" t="n"/>
      <c r="AD176" s="368" t="n"/>
      <c r="AE176" s="368" t="n"/>
      <c r="AF176" s="368" t="n"/>
      <c r="AG176" s="368" t="n"/>
      <c r="AH176" s="368" t="n"/>
      <c r="AI176" s="368" t="n"/>
      <c r="AJ176" s="170">
        <f>SUM(E176:AI176)</f>
        <v/>
      </c>
      <c r="AK176" s="157">
        <f>AJ176*D176</f>
        <v/>
      </c>
    </row>
    <row r="177" ht="25" customHeight="1">
      <c r="A177" s="171" t="inlineStr">
        <is>
          <t>17.จัดทำเอกสารในกรณีที่มีการอุทธรณ์ของนิสิต</t>
        </is>
      </c>
      <c r="B177" s="231" t="inlineStr">
        <is>
          <t>วิชา</t>
        </is>
      </c>
      <c r="C177" s="231" t="n">
        <v>60</v>
      </c>
      <c r="D177" s="231">
        <f>C177*0.143</f>
        <v/>
      </c>
      <c r="E177" s="432" t="n"/>
      <c r="F177" s="432" t="n"/>
      <c r="G177" s="432" t="n"/>
      <c r="H177" s="432" t="n"/>
      <c r="I177" s="432" t="n"/>
      <c r="J177" s="432" t="n"/>
      <c r="K177" s="432" t="n"/>
      <c r="L177" s="432" t="n"/>
      <c r="M177" s="432" t="n"/>
      <c r="N177" s="432" t="n"/>
      <c r="O177" s="432" t="n"/>
      <c r="P177" s="432" t="n"/>
      <c r="Q177" s="432" t="n"/>
      <c r="R177" s="432" t="n"/>
      <c r="S177" s="432" t="n"/>
      <c r="T177" s="432" t="n"/>
      <c r="U177" s="432" t="n"/>
      <c r="V177" s="432" t="n"/>
      <c r="W177" s="432" t="n"/>
      <c r="X177" s="432" t="n"/>
      <c r="Y177" s="432" t="n"/>
      <c r="Z177" s="432" t="n"/>
      <c r="AA177" s="432" t="n"/>
      <c r="AB177" s="432" t="n"/>
      <c r="AC177" s="432" t="n"/>
      <c r="AD177" s="432" t="n"/>
      <c r="AE177" s="432" t="n"/>
      <c r="AF177" s="432" t="n"/>
      <c r="AG177" s="432" t="n"/>
      <c r="AH177" s="432" t="n"/>
      <c r="AI177" s="432" t="n"/>
      <c r="AJ177" s="232">
        <f>SUM(E177:AI177)</f>
        <v/>
      </c>
      <c r="AK177" s="173">
        <f>AJ177*D177</f>
        <v/>
      </c>
    </row>
    <row r="178" ht="25" customHeight="1">
      <c r="A178" s="158" t="inlineStr">
        <is>
          <t>งานบริการห้องเรียนและห้องประชุมและโสตทัศนูปกรณ์</t>
        </is>
      </c>
      <c r="B178" s="226" t="n"/>
      <c r="C178" s="227" t="n"/>
      <c r="D178" s="227" t="n"/>
      <c r="E178" s="363" t="n"/>
      <c r="F178" s="363" t="n"/>
      <c r="G178" s="363" t="n"/>
      <c r="H178" s="363" t="n"/>
      <c r="I178" s="363" t="n"/>
      <c r="J178" s="363" t="n"/>
      <c r="K178" s="363" t="n"/>
      <c r="L178" s="363" t="n"/>
      <c r="M178" s="363" t="n"/>
      <c r="N178" s="363" t="n"/>
      <c r="O178" s="363" t="n"/>
      <c r="P178" s="363" t="n"/>
      <c r="Q178" s="363" t="n"/>
      <c r="R178" s="363" t="n"/>
      <c r="S178" s="363" t="n"/>
      <c r="T178" s="363" t="n"/>
      <c r="U178" s="363" t="n"/>
      <c r="V178" s="363" t="n"/>
      <c r="W178" s="363" t="n"/>
      <c r="X178" s="363" t="n"/>
      <c r="Y178" s="363" t="n"/>
      <c r="Z178" s="363" t="n"/>
      <c r="AA178" s="363" t="n"/>
      <c r="AB178" s="363" t="n"/>
      <c r="AC178" s="363" t="n"/>
      <c r="AD178" s="363" t="n"/>
      <c r="AE178" s="363" t="n"/>
      <c r="AF178" s="363" t="n"/>
      <c r="AG178" s="363" t="n"/>
      <c r="AH178" s="363" t="n"/>
      <c r="AI178" s="363" t="n"/>
      <c r="AJ178" s="215" t="n"/>
      <c r="AK178" s="620" t="n"/>
    </row>
    <row r="179" ht="50" customHeight="1">
      <c r="A179" s="171" t="inlineStr">
        <is>
          <t>1.เตรียมห้องเรียนหรือห้องประชุมในการเรียนการสอน (2 รอบต่อวัน)</t>
        </is>
      </c>
      <c r="B179" s="233" t="inlineStr">
        <is>
          <t>รอบ</t>
        </is>
      </c>
      <c r="C179" s="233" t="n">
        <v>15</v>
      </c>
      <c r="D179" s="234">
        <f>C179*0.143</f>
        <v/>
      </c>
      <c r="E179" s="433" t="n"/>
      <c r="F179" s="433" t="n"/>
      <c r="G179" s="433" t="n"/>
      <c r="H179" s="433" t="n"/>
      <c r="I179" s="433" t="n"/>
      <c r="J179" s="433" t="n"/>
      <c r="K179" s="433" t="n"/>
      <c r="L179" s="433" t="n"/>
      <c r="M179" s="433" t="n"/>
      <c r="N179" s="433" t="n"/>
      <c r="O179" s="433" t="n"/>
      <c r="P179" s="433" t="n"/>
      <c r="Q179" s="433" t="n"/>
      <c r="R179" s="433" t="n"/>
      <c r="S179" s="433" t="n"/>
      <c r="T179" s="433" t="n"/>
      <c r="U179" s="433" t="n"/>
      <c r="V179" s="433" t="n"/>
      <c r="W179" s="433" t="n"/>
      <c r="X179" s="433" t="n"/>
      <c r="Y179" s="433" t="n"/>
      <c r="Z179" s="433" t="n"/>
      <c r="AA179" s="433" t="n"/>
      <c r="AB179" s="433" t="n"/>
      <c r="AC179" s="433" t="n"/>
      <c r="AD179" s="433" t="n"/>
      <c r="AE179" s="433" t="n"/>
      <c r="AF179" s="433" t="n"/>
      <c r="AG179" s="433" t="n"/>
      <c r="AH179" s="433" t="n"/>
      <c r="AI179" s="433" t="n"/>
      <c r="AJ179" s="223">
        <f>SUM(E179:AI179)</f>
        <v/>
      </c>
      <c r="AK179" s="154">
        <f>AJ179*D179</f>
        <v/>
      </c>
    </row>
    <row r="180" ht="50" customHeight="1">
      <c r="A180" s="176" t="inlineStr">
        <is>
          <t>2.จัดเตรียมสถานที่อุปกรณ์ สนับสนุนการสอบ MCQ หรือ MEQ แพทย์ นิสิตแพทย์</t>
        </is>
      </c>
      <c r="B180" s="169" t="inlineStr">
        <is>
          <t>ครั้ง</t>
        </is>
      </c>
      <c r="C180" s="169" t="n">
        <v>15</v>
      </c>
      <c r="D180" s="166">
        <f>C180*0.143</f>
        <v/>
      </c>
      <c r="E180" s="368" t="n"/>
      <c r="F180" s="368" t="n"/>
      <c r="G180" s="368" t="n"/>
      <c r="H180" s="368" t="n"/>
      <c r="I180" s="368" t="n"/>
      <c r="J180" s="368" t="n"/>
      <c r="K180" s="368" t="n"/>
      <c r="L180" s="368" t="n"/>
      <c r="M180" s="368" t="n"/>
      <c r="N180" s="368" t="n"/>
      <c r="O180" s="368" t="n"/>
      <c r="P180" s="368" t="n"/>
      <c r="Q180" s="368" t="n"/>
      <c r="R180" s="368" t="n"/>
      <c r="S180" s="368" t="n"/>
      <c r="T180" s="368" t="n"/>
      <c r="U180" s="368" t="n"/>
      <c r="V180" s="368" t="n"/>
      <c r="W180" s="368" t="n"/>
      <c r="X180" s="368" t="n"/>
      <c r="Y180" s="368" t="n"/>
      <c r="Z180" s="368" t="n"/>
      <c r="AA180" s="368" t="n"/>
      <c r="AB180" s="368" t="n"/>
      <c r="AC180" s="368" t="n"/>
      <c r="AD180" s="368" t="n"/>
      <c r="AE180" s="368" t="n"/>
      <c r="AF180" s="368" t="n"/>
      <c r="AG180" s="368" t="n"/>
      <c r="AH180" s="368" t="n"/>
      <c r="AI180" s="368" t="n"/>
      <c r="AJ180" s="223">
        <f>SUM(E180:AI180)</f>
        <v/>
      </c>
      <c r="AK180" s="154">
        <f>AJ180*D180</f>
        <v/>
      </c>
    </row>
    <row r="181" ht="25" customHeight="1">
      <c r="A181" s="178" t="inlineStr">
        <is>
          <t>3.พัฒนาแอปพลิเคชันระบบฐานข้อมูลจองห้องเรียน</t>
        </is>
      </c>
      <c r="B181" s="169" t="inlineStr">
        <is>
          <t>วัน</t>
        </is>
      </c>
      <c r="C181" s="169" t="inlineStr">
        <is>
          <t>เหมา</t>
        </is>
      </c>
      <c r="D181" s="166" t="n">
        <v>30</v>
      </c>
      <c r="E181" s="368" t="n"/>
      <c r="F181" s="368" t="n"/>
      <c r="G181" s="368" t="n"/>
      <c r="H181" s="368" t="n"/>
      <c r="I181" s="368" t="n"/>
      <c r="J181" s="368" t="n"/>
      <c r="K181" s="368" t="n"/>
      <c r="L181" s="368" t="n"/>
      <c r="M181" s="368" t="n"/>
      <c r="N181" s="368" t="n"/>
      <c r="O181" s="368" t="n"/>
      <c r="P181" s="368" t="n"/>
      <c r="Q181" s="368" t="n"/>
      <c r="R181" s="368" t="n"/>
      <c r="S181" s="368" t="n"/>
      <c r="T181" s="368" t="n"/>
      <c r="U181" s="368" t="n"/>
      <c r="V181" s="368" t="n"/>
      <c r="W181" s="368" t="n"/>
      <c r="X181" s="368" t="n"/>
      <c r="Y181" s="368" t="n"/>
      <c r="Z181" s="368" t="n"/>
      <c r="AA181" s="368" t="n"/>
      <c r="AB181" s="368" t="n"/>
      <c r="AC181" s="368" t="n"/>
      <c r="AD181" s="368" t="n"/>
      <c r="AE181" s="368" t="n"/>
      <c r="AF181" s="368" t="n"/>
      <c r="AG181" s="368" t="n"/>
      <c r="AH181" s="368" t="n"/>
      <c r="AI181" s="368" t="n"/>
      <c r="AJ181" s="223">
        <f>SUM(E181:AI181)</f>
        <v/>
      </c>
      <c r="AK181" s="154">
        <f>AJ181*D181</f>
        <v/>
      </c>
    </row>
    <row r="182" ht="50" customHeight="1">
      <c r="A182" s="178" t="inlineStr">
        <is>
          <t>4.ให้ความช่วยเหลือและแนะนำการแก้ปัญหาการใช้งานห้องเรียนและโสตทัศนูปกรณ์แก่ผู้ใช้งานห้องเรียน</t>
        </is>
      </c>
      <c r="B182" s="169" t="inlineStr">
        <is>
          <t>ครั้ง</t>
        </is>
      </c>
      <c r="C182" s="169" t="n">
        <v>10</v>
      </c>
      <c r="D182" s="166">
        <f>C182*0.143</f>
        <v/>
      </c>
      <c r="E182" s="368" t="n"/>
      <c r="F182" s="368" t="n"/>
      <c r="G182" s="368" t="n"/>
      <c r="H182" s="368" t="n"/>
      <c r="I182" s="368" t="n"/>
      <c r="J182" s="368" t="n"/>
      <c r="K182" s="368" t="n"/>
      <c r="L182" s="368" t="n"/>
      <c r="M182" s="368" t="n"/>
      <c r="N182" s="368" t="n"/>
      <c r="O182" s="368" t="n"/>
      <c r="P182" s="368" t="n"/>
      <c r="Q182" s="368" t="n"/>
      <c r="R182" s="368" t="n"/>
      <c r="S182" s="368" t="n"/>
      <c r="T182" s="368" t="n"/>
      <c r="U182" s="368" t="n"/>
      <c r="V182" s="368" t="n"/>
      <c r="W182" s="368" t="n"/>
      <c r="X182" s="368" t="n"/>
      <c r="Y182" s="368" t="n"/>
      <c r="Z182" s="368" t="n"/>
      <c r="AA182" s="368" t="n"/>
      <c r="AB182" s="368" t="n"/>
      <c r="AC182" s="368" t="n"/>
      <c r="AD182" s="368" t="n"/>
      <c r="AE182" s="368" t="n"/>
      <c r="AF182" s="368" t="n"/>
      <c r="AG182" s="368" t="n"/>
      <c r="AH182" s="368" t="n"/>
      <c r="AI182" s="368" t="n"/>
      <c r="AJ182" s="223">
        <f>SUM(E182:AI182)</f>
        <v/>
      </c>
      <c r="AK182" s="154">
        <f>AJ182*D182</f>
        <v/>
      </c>
    </row>
    <row r="183" ht="25" customHeight="1">
      <c r="A183" s="178" t="inlineStr">
        <is>
          <t>5.ดูแลและจัดการ app ระบบจองห้องเรียน และโสตทัศนูปกรณ์</t>
        </is>
      </c>
      <c r="B183" s="231" t="inlineStr">
        <is>
          <t>ครั้ง</t>
        </is>
      </c>
      <c r="C183" s="231" t="n">
        <v>5</v>
      </c>
      <c r="D183" s="237">
        <f>C183*0.143</f>
        <v/>
      </c>
      <c r="E183" s="432" t="n"/>
      <c r="F183" s="432" t="n"/>
      <c r="G183" s="432" t="n"/>
      <c r="H183" s="432" t="n"/>
      <c r="I183" s="432" t="n"/>
      <c r="J183" s="432" t="n"/>
      <c r="K183" s="432" t="n"/>
      <c r="L183" s="432" t="n"/>
      <c r="M183" s="432" t="n"/>
      <c r="N183" s="432" t="n"/>
      <c r="O183" s="432" t="n"/>
      <c r="P183" s="432" t="n"/>
      <c r="Q183" s="432" t="n"/>
      <c r="R183" s="432" t="n"/>
      <c r="S183" s="432" t="n"/>
      <c r="T183" s="432" t="n"/>
      <c r="U183" s="432" t="n"/>
      <c r="V183" s="432" t="n"/>
      <c r="W183" s="432" t="n"/>
      <c r="X183" s="432" t="n"/>
      <c r="Y183" s="432" t="n"/>
      <c r="Z183" s="432" t="n"/>
      <c r="AA183" s="432" t="n"/>
      <c r="AB183" s="432" t="n"/>
      <c r="AC183" s="432" t="n"/>
      <c r="AD183" s="432" t="n"/>
      <c r="AE183" s="432" t="n"/>
      <c r="AF183" s="432" t="n"/>
      <c r="AG183" s="432" t="n"/>
      <c r="AH183" s="432" t="n"/>
      <c r="AI183" s="432" t="n"/>
      <c r="AJ183" s="238">
        <f>SUM(E183:AI183)</f>
        <v/>
      </c>
      <c r="AK183" s="180">
        <f>AJ183*D183</f>
        <v/>
      </c>
    </row>
    <row r="184" ht="25" customHeight="1">
      <c r="A184" s="158" t="inlineStr">
        <is>
          <t>งานบริการห้องฝึกหัตถการและสถานการณ์จำลองทางคลินิก</t>
        </is>
      </c>
      <c r="B184" s="226" t="n"/>
      <c r="C184" s="227" t="n"/>
      <c r="D184" s="239" t="n"/>
      <c r="E184" s="363" t="n"/>
      <c r="F184" s="363" t="n"/>
      <c r="G184" s="363" t="n"/>
      <c r="H184" s="363" t="n"/>
      <c r="I184" s="363" t="n"/>
      <c r="J184" s="363" t="n"/>
      <c r="K184" s="363" t="n"/>
      <c r="L184" s="363" t="n"/>
      <c r="M184" s="363" t="n"/>
      <c r="N184" s="363" t="n"/>
      <c r="O184" s="363" t="n"/>
      <c r="P184" s="363" t="n"/>
      <c r="Q184" s="363" t="n"/>
      <c r="R184" s="363" t="n"/>
      <c r="S184" s="363" t="n"/>
      <c r="T184" s="363" t="n"/>
      <c r="U184" s="363" t="n"/>
      <c r="V184" s="363" t="n"/>
      <c r="W184" s="363" t="n"/>
      <c r="X184" s="363" t="n"/>
      <c r="Y184" s="363" t="n"/>
      <c r="Z184" s="363" t="n"/>
      <c r="AA184" s="363" t="n"/>
      <c r="AB184" s="363" t="n"/>
      <c r="AC184" s="363" t="n"/>
      <c r="AD184" s="363" t="n"/>
      <c r="AE184" s="363" t="n"/>
      <c r="AF184" s="363" t="n"/>
      <c r="AG184" s="363" t="n"/>
      <c r="AH184" s="363" t="n"/>
      <c r="AI184" s="363" t="n"/>
      <c r="AJ184" s="215" t="n"/>
      <c r="AK184" s="620" t="n"/>
    </row>
    <row r="185" ht="50" customHeight="1">
      <c r="A185" s="171" t="inlineStr">
        <is>
          <r>
            <t>1.เตรียม/จัดเก็บ</t>
          </r>
          <r>
            <rPr>
              <rFont val="TH SarabunPSK"/>
              <family val="2"/>
              <color rgb="FFFF0000"/>
              <sz val="16"/>
            </rPr>
            <t xml:space="preserve">หุ่น </t>
          </r>
          <r>
            <rPr>
              <rFont val="TH SarabunPSK"/>
              <family val="2"/>
              <b val="1"/>
              <color theme="1"/>
              <sz val="16"/>
            </rPr>
            <t>ห้องฝึกหัตถการ</t>
          </r>
          <r>
            <rPr>
              <rFont val="TH SarabunPSK"/>
              <family val="2"/>
              <color theme="1"/>
              <sz val="16"/>
            </rPr>
            <t xml:space="preserve"> หรือสอบหัตถการทางคลินิก รายสถานการณ์</t>
          </r>
        </is>
      </c>
      <c r="B185" s="233" t="inlineStr">
        <is>
          <t>ครั้ง</t>
        </is>
      </c>
      <c r="C185" s="233" t="n">
        <v>45</v>
      </c>
      <c r="D185" s="234">
        <f>C185*0.143</f>
        <v/>
      </c>
      <c r="E185" s="433" t="n"/>
      <c r="F185" s="433" t="n"/>
      <c r="G185" s="433" t="n"/>
      <c r="H185" s="433" t="n"/>
      <c r="I185" s="433" t="n"/>
      <c r="J185" s="433" t="n"/>
      <c r="K185" s="433" t="n"/>
      <c r="L185" s="433" t="n"/>
      <c r="M185" s="433" t="n"/>
      <c r="N185" s="433" t="n"/>
      <c r="O185" s="433" t="n"/>
      <c r="P185" s="433" t="n"/>
      <c r="Q185" s="433" t="n"/>
      <c r="R185" s="433" t="n"/>
      <c r="S185" s="433" t="n"/>
      <c r="T185" s="433" t="n"/>
      <c r="U185" s="433" t="n"/>
      <c r="V185" s="433" t="n"/>
      <c r="W185" s="433" t="n"/>
      <c r="X185" s="433" t="n"/>
      <c r="Y185" s="433" t="n"/>
      <c r="Z185" s="433" t="n"/>
      <c r="AA185" s="433" t="n"/>
      <c r="AB185" s="433" t="n"/>
      <c r="AC185" s="433" t="n"/>
      <c r="AD185" s="433" t="n"/>
      <c r="AE185" s="433" t="n"/>
      <c r="AF185" s="433" t="n"/>
      <c r="AG185" s="433" t="n"/>
      <c r="AH185" s="433" t="n"/>
      <c r="AI185" s="433" t="n"/>
      <c r="AJ185" s="223">
        <f>SUM(E185:AI185)</f>
        <v/>
      </c>
      <c r="AK185" s="154">
        <f>AJ185*D185</f>
        <v/>
      </c>
    </row>
    <row r="186" ht="25" customHeight="1">
      <c r="A186" s="171" t="inlineStr">
        <is>
          <r>
            <t>2.เตรียม/จัดเก็บ</t>
          </r>
          <r>
            <rPr>
              <rFont val="TH SarabunPSK"/>
              <family val="2"/>
              <b val="1"/>
              <color theme="1"/>
              <sz val="16"/>
            </rPr>
            <t>ห้องสอบหัตถารทางคลินิก แบบรวมสถานการณ์</t>
          </r>
        </is>
      </c>
      <c r="B186" s="169" t="inlineStr">
        <is>
          <t>ครั้ง</t>
        </is>
      </c>
      <c r="C186" s="169" t="n">
        <v>90</v>
      </c>
      <c r="D186" s="166">
        <f>C186*0.143</f>
        <v/>
      </c>
      <c r="E186" s="368" t="n"/>
      <c r="F186" s="368" t="n"/>
      <c r="G186" s="368" t="n"/>
      <c r="H186" s="368" t="n"/>
      <c r="I186" s="368" t="n"/>
      <c r="J186" s="368" t="n"/>
      <c r="K186" s="368" t="n"/>
      <c r="L186" s="368" t="n"/>
      <c r="M186" s="368" t="n"/>
      <c r="N186" s="368" t="n"/>
      <c r="O186" s="368" t="n"/>
      <c r="P186" s="368" t="n"/>
      <c r="Q186" s="368" t="n"/>
      <c r="R186" s="368" t="n"/>
      <c r="S186" s="368" t="n"/>
      <c r="T186" s="368" t="n"/>
      <c r="U186" s="368" t="n"/>
      <c r="V186" s="368" t="n"/>
      <c r="W186" s="368" t="n"/>
      <c r="X186" s="368" t="n"/>
      <c r="Y186" s="368" t="n"/>
      <c r="Z186" s="368" t="n"/>
      <c r="AA186" s="368" t="n"/>
      <c r="AB186" s="368" t="n"/>
      <c r="AC186" s="368" t="n"/>
      <c r="AD186" s="368" t="n"/>
      <c r="AE186" s="368" t="n"/>
      <c r="AF186" s="368" t="n"/>
      <c r="AG186" s="368" t="n"/>
      <c r="AH186" s="368" t="n"/>
      <c r="AI186" s="368" t="n"/>
      <c r="AJ186" s="223">
        <f>SUM(E186:AI186)</f>
        <v/>
      </c>
      <c r="AK186" s="154">
        <f>AJ186*D186</f>
        <v/>
      </c>
    </row>
    <row r="187" ht="50" customHeight="1">
      <c r="A187" s="171" t="inlineStr">
        <is>
          <t>3.พัฒนาแอปพลิเคชันระบบฐานข้อมูลการเบิกยืมอุปกรณ์เพื่อใช้ในการฝึกหัตถการและสถานการณ์จำลองทางคลินิก</t>
        </is>
      </c>
      <c r="B187" s="169" t="inlineStr">
        <is>
          <t>วัน</t>
        </is>
      </c>
      <c r="C187" s="169" t="inlineStr">
        <is>
          <t>เหมา</t>
        </is>
      </c>
      <c r="D187" s="166" t="n">
        <v>30</v>
      </c>
      <c r="E187" s="368" t="n"/>
      <c r="F187" s="368" t="n"/>
      <c r="G187" s="368" t="n"/>
      <c r="H187" s="368" t="n"/>
      <c r="I187" s="368" t="n"/>
      <c r="J187" s="368" t="n"/>
      <c r="K187" s="368" t="n"/>
      <c r="L187" s="368" t="n"/>
      <c r="M187" s="368" t="n"/>
      <c r="N187" s="368" t="n"/>
      <c r="O187" s="368" t="n"/>
      <c r="P187" s="368" t="n"/>
      <c r="Q187" s="368" t="n"/>
      <c r="R187" s="368" t="n"/>
      <c r="S187" s="368" t="n"/>
      <c r="T187" s="368" t="n"/>
      <c r="U187" s="368" t="n"/>
      <c r="V187" s="368" t="n"/>
      <c r="W187" s="368" t="n"/>
      <c r="X187" s="368" t="n"/>
      <c r="Y187" s="368" t="n"/>
      <c r="Z187" s="368" t="n"/>
      <c r="AA187" s="368" t="n"/>
      <c r="AB187" s="368" t="n"/>
      <c r="AC187" s="368" t="n"/>
      <c r="AD187" s="368" t="n"/>
      <c r="AE187" s="368" t="n"/>
      <c r="AF187" s="368" t="n"/>
      <c r="AG187" s="368" t="n"/>
      <c r="AH187" s="368" t="n"/>
      <c r="AI187" s="368" t="n"/>
      <c r="AJ187" s="223">
        <f>SUM(E187:AI187)</f>
        <v/>
      </c>
      <c r="AK187" s="154">
        <f>AJ187*D187</f>
        <v/>
      </c>
    </row>
    <row r="188" ht="50" customHeight="1">
      <c r="A188" s="171" t="inlineStr">
        <is>
          <t>4.ทำทะเบียนการเบิก/ยืมรายการอุปกรณ์การฝึกหัตถการและสถานการณ์จำลองทางคลินิก</t>
        </is>
      </c>
      <c r="B188" s="169" t="inlineStr">
        <is>
          <t>วัน</t>
        </is>
      </c>
      <c r="C188" s="169" t="n">
        <v>15</v>
      </c>
      <c r="D188" s="166">
        <f>C188*0.143</f>
        <v/>
      </c>
      <c r="E188" s="368" t="n"/>
      <c r="F188" s="368" t="n"/>
      <c r="G188" s="368" t="n"/>
      <c r="H188" s="368" t="n"/>
      <c r="I188" s="368" t="n"/>
      <c r="J188" s="368" t="n"/>
      <c r="K188" s="368" t="n"/>
      <c r="L188" s="368" t="n"/>
      <c r="M188" s="368" t="n"/>
      <c r="N188" s="368" t="n"/>
      <c r="O188" s="368" t="n"/>
      <c r="P188" s="368" t="n"/>
      <c r="Q188" s="368" t="n"/>
      <c r="R188" s="368" t="n"/>
      <c r="S188" s="368" t="n"/>
      <c r="T188" s="368" t="n"/>
      <c r="U188" s="368" t="n"/>
      <c r="V188" s="368" t="n"/>
      <c r="W188" s="368" t="n"/>
      <c r="X188" s="368" t="n"/>
      <c r="Y188" s="368" t="n"/>
      <c r="Z188" s="368" t="n"/>
      <c r="AA188" s="368" t="n"/>
      <c r="AB188" s="368" t="n"/>
      <c r="AC188" s="368" t="n"/>
      <c r="AD188" s="368" t="n"/>
      <c r="AE188" s="368" t="n"/>
      <c r="AF188" s="368" t="n"/>
      <c r="AG188" s="368" t="n"/>
      <c r="AH188" s="368" t="n"/>
      <c r="AI188" s="368" t="n"/>
      <c r="AJ188" s="223">
        <f>SUM(E188:AI188)</f>
        <v/>
      </c>
      <c r="AK188" s="154">
        <f>AJ188*D188</f>
        <v/>
      </c>
    </row>
    <row r="189" ht="50" customHeight="1">
      <c r="A189" s="171" t="inlineStr">
        <is>
          <t>5.ให้ความช่วยเหลือและแนะนำการแก้ปัญหาแก่ผู้ใช้งานห้องฝึกหัตถการและสถานการณ์จำลองทางคลินิก</t>
        </is>
      </c>
      <c r="B189" s="169" t="inlineStr">
        <is>
          <t>ครั้ง</t>
        </is>
      </c>
      <c r="C189" s="169" t="n">
        <v>15</v>
      </c>
      <c r="D189" s="166">
        <f>C189*0.143</f>
        <v/>
      </c>
      <c r="E189" s="368" t="n"/>
      <c r="F189" s="368" t="n"/>
      <c r="G189" s="368" t="n"/>
      <c r="H189" s="368" t="n"/>
      <c r="I189" s="368" t="n"/>
      <c r="J189" s="368" t="n"/>
      <c r="K189" s="368" t="n"/>
      <c r="L189" s="368" t="n"/>
      <c r="M189" s="368" t="n"/>
      <c r="N189" s="368" t="n"/>
      <c r="O189" s="368" t="n"/>
      <c r="P189" s="368" t="n"/>
      <c r="Q189" s="368" t="n"/>
      <c r="R189" s="368" t="n"/>
      <c r="S189" s="368" t="n"/>
      <c r="T189" s="368" t="n"/>
      <c r="U189" s="368" t="n"/>
      <c r="V189" s="368" t="n"/>
      <c r="W189" s="368" t="n"/>
      <c r="X189" s="368" t="n"/>
      <c r="Y189" s="368" t="n"/>
      <c r="Z189" s="368" t="n"/>
      <c r="AA189" s="368" t="n"/>
      <c r="AB189" s="368" t="n"/>
      <c r="AC189" s="368" t="n"/>
      <c r="AD189" s="368" t="n"/>
      <c r="AE189" s="368" t="n"/>
      <c r="AF189" s="368" t="n"/>
      <c r="AG189" s="368" t="n"/>
      <c r="AH189" s="368" t="n"/>
      <c r="AI189" s="368" t="n"/>
      <c r="AJ189" s="223">
        <f>SUM(E189:AI189)</f>
        <v/>
      </c>
      <c r="AK189" s="154">
        <f>AJ189*D189</f>
        <v/>
      </c>
    </row>
    <row r="190" ht="75" customHeight="1">
      <c r="A190" s="182" t="inlineStr">
        <is>
          <t>6.การจัดการดูแลรักษาอุปกรณ์การฝึกหัตถการและสถานการณ์จำลองทางคลินิกตามห้วงเวลา หรือส่งซ่อมที่ชำรุด เปิดระบบ control KB Port</t>
        </is>
      </c>
      <c r="B190" s="231" t="inlineStr">
        <is>
          <t>วัน</t>
        </is>
      </c>
      <c r="C190" s="231" t="n">
        <v>20</v>
      </c>
      <c r="D190" s="237">
        <f>C190*0.143</f>
        <v/>
      </c>
      <c r="E190" s="432" t="n"/>
      <c r="F190" s="432" t="n"/>
      <c r="G190" s="432" t="n"/>
      <c r="H190" s="432" t="n"/>
      <c r="I190" s="432" t="n"/>
      <c r="J190" s="432" t="n"/>
      <c r="K190" s="432" t="n"/>
      <c r="L190" s="432" t="n"/>
      <c r="M190" s="432" t="n"/>
      <c r="N190" s="432" t="n"/>
      <c r="O190" s="432" t="n"/>
      <c r="P190" s="432" t="n"/>
      <c r="Q190" s="432" t="n"/>
      <c r="R190" s="432" t="n"/>
      <c r="S190" s="432" t="n"/>
      <c r="T190" s="432" t="n"/>
      <c r="U190" s="432" t="n"/>
      <c r="V190" s="432" t="n"/>
      <c r="W190" s="432" t="n"/>
      <c r="X190" s="432" t="n"/>
      <c r="Y190" s="432" t="n"/>
      <c r="Z190" s="432" t="n"/>
      <c r="AA190" s="432" t="n"/>
      <c r="AB190" s="432" t="n"/>
      <c r="AC190" s="432" t="n"/>
      <c r="AD190" s="432" t="n"/>
      <c r="AE190" s="432" t="n"/>
      <c r="AF190" s="432" t="n"/>
      <c r="AG190" s="432" t="n"/>
      <c r="AH190" s="432" t="n"/>
      <c r="AI190" s="432" t="n"/>
      <c r="AJ190" s="170">
        <f>SUM(E190:AI190)</f>
        <v/>
      </c>
      <c r="AK190" s="157">
        <f>AJ190*D190</f>
        <v/>
      </c>
    </row>
    <row r="191" ht="25" customHeight="1">
      <c r="A191" s="182" t="inlineStr">
        <is>
          <t>7.เตรียมผู้ป่วยจำลอง</t>
        </is>
      </c>
      <c r="B191" s="231" t="inlineStr">
        <is>
          <t>รอบ</t>
        </is>
      </c>
      <c r="C191" s="231" t="inlineStr">
        <is>
          <t>เหมา</t>
        </is>
      </c>
      <c r="D191" s="237" t="n">
        <v>10</v>
      </c>
      <c r="E191" s="432" t="n"/>
      <c r="F191" s="432" t="n"/>
      <c r="G191" s="432" t="n"/>
      <c r="H191" s="432" t="n"/>
      <c r="I191" s="432" t="n"/>
      <c r="J191" s="432" t="n"/>
      <c r="K191" s="432" t="n"/>
      <c r="L191" s="432" t="n"/>
      <c r="M191" s="432" t="n"/>
      <c r="N191" s="432" t="n"/>
      <c r="O191" s="432" t="n"/>
      <c r="P191" s="432" t="n"/>
      <c r="Q191" s="432" t="n"/>
      <c r="R191" s="432" t="n"/>
      <c r="S191" s="432" t="n"/>
      <c r="T191" s="432" t="n"/>
      <c r="U191" s="432" t="n"/>
      <c r="V191" s="432" t="n"/>
      <c r="W191" s="432" t="n"/>
      <c r="X191" s="432" t="n"/>
      <c r="Y191" s="432" t="n"/>
      <c r="Z191" s="432" t="n"/>
      <c r="AA191" s="432" t="n"/>
      <c r="AB191" s="432" t="n"/>
      <c r="AC191" s="432" t="n"/>
      <c r="AD191" s="432" t="n"/>
      <c r="AE191" s="432" t="n"/>
      <c r="AF191" s="432" t="n"/>
      <c r="AG191" s="432" t="n"/>
      <c r="AH191" s="432" t="n"/>
      <c r="AI191" s="432" t="n"/>
      <c r="AJ191" s="238">
        <f>SUM(E191:AI191)</f>
        <v/>
      </c>
      <c r="AK191" s="180">
        <f>AJ191*D191</f>
        <v/>
      </c>
    </row>
    <row r="192" ht="25" customHeight="1">
      <c r="A192" s="158" t="inlineStr">
        <is>
          <t>งานบริการเทคโนโลยีสารสนเทศ เว็บไซต์ Facebook ระบบอีเมล์</t>
        </is>
      </c>
      <c r="B192" s="226" t="n"/>
      <c r="C192" s="227" t="n"/>
      <c r="D192" s="239" t="n"/>
      <c r="E192" s="363" t="n"/>
      <c r="F192" s="363" t="n"/>
      <c r="G192" s="363" t="n"/>
      <c r="H192" s="363" t="n"/>
      <c r="I192" s="363" t="n"/>
      <c r="J192" s="363" t="n"/>
      <c r="K192" s="363" t="n"/>
      <c r="L192" s="363" t="n"/>
      <c r="M192" s="363" t="n"/>
      <c r="N192" s="363" t="n"/>
      <c r="O192" s="363" t="n"/>
      <c r="P192" s="363" t="n"/>
      <c r="Q192" s="363" t="n"/>
      <c r="R192" s="363" t="n"/>
      <c r="S192" s="363" t="n"/>
      <c r="T192" s="363" t="n"/>
      <c r="U192" s="363" t="n"/>
      <c r="V192" s="363" t="n"/>
      <c r="W192" s="363" t="n"/>
      <c r="X192" s="363" t="n"/>
      <c r="Y192" s="363" t="n"/>
      <c r="Z192" s="363" t="n"/>
      <c r="AA192" s="363" t="n"/>
      <c r="AB192" s="363" t="n"/>
      <c r="AC192" s="363" t="n"/>
      <c r="AD192" s="363" t="n"/>
      <c r="AE192" s="363" t="n"/>
      <c r="AF192" s="363" t="n"/>
      <c r="AG192" s="363" t="n"/>
      <c r="AH192" s="363" t="n"/>
      <c r="AI192" s="363" t="n"/>
      <c r="AJ192" s="215" t="n"/>
      <c r="AK192" s="620" t="n"/>
    </row>
    <row r="193" ht="25" customHeight="1">
      <c r="A193" s="162" t="inlineStr">
        <is>
          <t>1.การจัดการ และตั้งค่าระบบ ZOOM ศูนย์แพทยศาสตรศึกษา</t>
        </is>
      </c>
      <c r="B193" s="233" t="inlineStr">
        <is>
          <t>ครั้ง</t>
        </is>
      </c>
      <c r="C193" s="233" t="n">
        <v>5</v>
      </c>
      <c r="D193" s="234">
        <f>C193*0.143</f>
        <v/>
      </c>
      <c r="E193" s="433" t="n"/>
      <c r="F193" s="433" t="n"/>
      <c r="G193" s="433" t="n"/>
      <c r="H193" s="433" t="n"/>
      <c r="I193" s="433" t="n"/>
      <c r="J193" s="433" t="n"/>
      <c r="K193" s="433" t="n"/>
      <c r="L193" s="433" t="n"/>
      <c r="M193" s="433" t="n"/>
      <c r="N193" s="433" t="n"/>
      <c r="O193" s="433" t="n"/>
      <c r="P193" s="433" t="n"/>
      <c r="Q193" s="433" t="n"/>
      <c r="R193" s="433" t="n"/>
      <c r="S193" s="433" t="n"/>
      <c r="T193" s="433" t="n"/>
      <c r="U193" s="433" t="n"/>
      <c r="V193" s="433" t="n"/>
      <c r="W193" s="228" t="n"/>
      <c r="X193" s="433" t="n"/>
      <c r="Y193" s="433" t="n"/>
      <c r="Z193" s="433" t="n"/>
      <c r="AA193" s="433" t="n"/>
      <c r="AB193" s="433" t="n"/>
      <c r="AC193" s="433" t="n"/>
      <c r="AD193" s="433" t="n"/>
      <c r="AE193" s="433" t="n"/>
      <c r="AF193" s="433" t="n"/>
      <c r="AG193" s="433" t="n"/>
      <c r="AH193" s="433" t="n"/>
      <c r="AI193" s="433" t="n"/>
      <c r="AJ193" s="223">
        <f>SUM(E193:AI193)</f>
        <v/>
      </c>
      <c r="AK193" s="154">
        <f>AJ193*D193</f>
        <v/>
      </c>
    </row>
    <row r="194" ht="50" customHeight="1">
      <c r="A194" s="162" t="inlineStr">
        <is>
          <t xml:space="preserve">2.การบันทึกไฟล์การสอน ประชุม หรือกล้องวงจรปิดผ่านระบบออนไลน์ใน Drive </t>
        </is>
      </c>
      <c r="B194" s="169" t="inlineStr">
        <is>
          <t>ครั้ง</t>
        </is>
      </c>
      <c r="C194" s="169" t="n">
        <v>5</v>
      </c>
      <c r="D194" s="166">
        <f>C194*0.143</f>
        <v/>
      </c>
      <c r="E194" s="368" t="n"/>
      <c r="F194" s="368" t="n"/>
      <c r="G194" s="368" t="n"/>
      <c r="H194" s="368" t="n"/>
      <c r="I194" s="368" t="n"/>
      <c r="J194" s="368" t="n"/>
      <c r="K194" s="368" t="n"/>
      <c r="L194" s="368" t="n"/>
      <c r="M194" s="368" t="n"/>
      <c r="N194" s="368" t="n"/>
      <c r="O194" s="368" t="n"/>
      <c r="P194" s="368" t="n"/>
      <c r="Q194" s="368" t="n"/>
      <c r="R194" s="368" t="n"/>
      <c r="S194" s="368" t="n"/>
      <c r="T194" s="368" t="n"/>
      <c r="U194" s="368" t="n"/>
      <c r="V194" s="368" t="n"/>
      <c r="W194" s="368" t="n"/>
      <c r="X194" s="368" t="n"/>
      <c r="Y194" s="368" t="n"/>
      <c r="Z194" s="368" t="n"/>
      <c r="AA194" s="368" t="n"/>
      <c r="AB194" s="368" t="n"/>
      <c r="AC194" s="368" t="n"/>
      <c r="AD194" s="368" t="n"/>
      <c r="AE194" s="368" t="n"/>
      <c r="AF194" s="368" t="n"/>
      <c r="AG194" s="368" t="n"/>
      <c r="AH194" s="368" t="n"/>
      <c r="AI194" s="368" t="n"/>
      <c r="AJ194" s="223">
        <f>SUM(E194:AI194)</f>
        <v/>
      </c>
      <c r="AK194" s="154">
        <f>AJ194*D194</f>
        <v/>
      </c>
    </row>
    <row r="195" ht="25" customHeight="1">
      <c r="A195" s="162" t="inlineStr">
        <is>
          <t>3.การบันทึกภาพนิ่งหรือวิดิโอในกิจกรรมต่างๆ</t>
        </is>
      </c>
      <c r="B195" s="169" t="inlineStr">
        <is>
          <t>ครั้ง</t>
        </is>
      </c>
      <c r="C195" s="169" t="n">
        <v>60</v>
      </c>
      <c r="D195" s="166">
        <f>C195*0.143</f>
        <v/>
      </c>
      <c r="E195" s="368" t="n"/>
      <c r="F195" s="368" t="n"/>
      <c r="G195" s="368" t="n"/>
      <c r="H195" s="368" t="n"/>
      <c r="I195" s="368" t="n"/>
      <c r="J195" s="368" t="n"/>
      <c r="K195" s="368" t="n"/>
      <c r="L195" s="368" t="n"/>
      <c r="M195" s="368" t="n"/>
      <c r="N195" s="368" t="n"/>
      <c r="O195" s="368" t="n"/>
      <c r="P195" s="368" t="n"/>
      <c r="Q195" s="368" t="n"/>
      <c r="R195" s="368" t="n"/>
      <c r="S195" s="368" t="n"/>
      <c r="T195" s="368" t="n"/>
      <c r="U195" s="368" t="n"/>
      <c r="V195" s="368" t="n"/>
      <c r="W195" s="368" t="n"/>
      <c r="X195" s="368" t="n"/>
      <c r="Y195" s="368" t="n"/>
      <c r="Z195" s="368" t="n"/>
      <c r="AA195" s="368" t="n"/>
      <c r="AB195" s="368" t="n"/>
      <c r="AC195" s="368" t="n"/>
      <c r="AD195" s="368" t="n"/>
      <c r="AE195" s="368" t="n"/>
      <c r="AF195" s="368" t="n"/>
      <c r="AG195" s="368" t="n"/>
      <c r="AH195" s="368" t="n"/>
      <c r="AI195" s="368" t="n"/>
      <c r="AJ195" s="223">
        <f>SUM(E195:AI195)</f>
        <v/>
      </c>
      <c r="AK195" s="154">
        <f>AJ195*D195</f>
        <v/>
      </c>
    </row>
    <row r="196" ht="25" customHeight="1">
      <c r="A196" s="162" t="inlineStr">
        <is>
          <t>4.การ Update ข้อมูล Facebook website หรือ ไลน์ หน่วยงาน</t>
        </is>
      </c>
      <c r="B196" s="169" t="inlineStr">
        <is>
          <t>ครั้ง</t>
        </is>
      </c>
      <c r="C196" s="169" t="n">
        <v>10</v>
      </c>
      <c r="D196" s="166">
        <f>C196*0.143</f>
        <v/>
      </c>
      <c r="E196" s="368" t="n"/>
      <c r="F196" s="368" t="n"/>
      <c r="G196" s="368" t="n"/>
      <c r="H196" s="368" t="n"/>
      <c r="I196" s="368" t="n"/>
      <c r="J196" s="368" t="n"/>
      <c r="K196" s="368" t="n"/>
      <c r="L196" s="368" t="n"/>
      <c r="M196" s="368" t="n"/>
      <c r="N196" s="368" t="n"/>
      <c r="O196" s="368" t="n"/>
      <c r="P196" s="368" t="n"/>
      <c r="Q196" s="368" t="n"/>
      <c r="R196" s="368" t="n"/>
      <c r="S196" s="368" t="n"/>
      <c r="T196" s="368" t="n"/>
      <c r="U196" s="368" t="n"/>
      <c r="V196" s="368" t="n"/>
      <c r="W196" s="368" t="n"/>
      <c r="X196" s="368" t="n"/>
      <c r="Y196" s="368" t="n"/>
      <c r="Z196" s="368" t="n"/>
      <c r="AA196" s="368" t="n"/>
      <c r="AB196" s="368" t="n"/>
      <c r="AC196" s="368" t="n"/>
      <c r="AD196" s="368" t="n"/>
      <c r="AE196" s="368" t="n"/>
      <c r="AF196" s="368" t="n"/>
      <c r="AG196" s="368" t="n"/>
      <c r="AH196" s="368" t="n"/>
      <c r="AI196" s="368" t="n"/>
      <c r="AJ196" s="223">
        <f>SUM(E196:AI196)</f>
        <v/>
      </c>
      <c r="AK196" s="154">
        <f>AJ196*D196</f>
        <v/>
      </c>
    </row>
    <row r="197" ht="25" customHeight="1">
      <c r="A197" s="162" t="inlineStr">
        <is>
          <t>5.การนำเข้าข้อมูลผู้ใช้งานระบบอีเมล์</t>
        </is>
      </c>
      <c r="B197" s="169" t="inlineStr">
        <is>
          <t>ราย</t>
        </is>
      </c>
      <c r="C197" s="169" t="n">
        <v>5</v>
      </c>
      <c r="D197" s="166">
        <f>C197*0.143</f>
        <v/>
      </c>
      <c r="E197" s="368" t="n"/>
      <c r="F197" s="368" t="n"/>
      <c r="G197" s="368" t="n"/>
      <c r="H197" s="368" t="n"/>
      <c r="I197" s="368" t="n"/>
      <c r="J197" s="368" t="n"/>
      <c r="K197" s="368" t="n"/>
      <c r="L197" s="368" t="n"/>
      <c r="M197" s="368" t="n"/>
      <c r="N197" s="368" t="n"/>
      <c r="O197" s="368" t="n"/>
      <c r="P197" s="368" t="n"/>
      <c r="Q197" s="368" t="n"/>
      <c r="R197" s="368" t="n"/>
      <c r="S197" s="368" t="n"/>
      <c r="T197" s="368" t="n"/>
      <c r="U197" s="368" t="n"/>
      <c r="V197" s="368" t="n"/>
      <c r="W197" s="368" t="n"/>
      <c r="X197" s="368" t="n"/>
      <c r="Y197" s="368" t="n"/>
      <c r="Z197" s="368" t="n"/>
      <c r="AA197" s="368" t="n"/>
      <c r="AB197" s="368" t="n"/>
      <c r="AC197" s="368" t="n"/>
      <c r="AD197" s="368" t="n"/>
      <c r="AE197" s="368" t="n"/>
      <c r="AF197" s="368" t="n"/>
      <c r="AG197" s="368" t="n"/>
      <c r="AH197" s="368" t="n"/>
      <c r="AI197" s="368" t="n"/>
      <c r="AJ197" s="223">
        <f>SUM(E197:AI197)</f>
        <v/>
      </c>
      <c r="AK197" s="154">
        <f>AJ197*D197</f>
        <v/>
      </c>
    </row>
    <row r="198" ht="50" customHeight="1">
      <c r="A198" s="178" t="inlineStr">
        <is>
          <t>6.การช่วยเหลือและให้คำแนะนำเกี่ยวกับงานสารสนเทศ สื่อการเรียนรู้ ระบบอีเมล์</t>
        </is>
      </c>
      <c r="B198" s="169" t="inlineStr">
        <is>
          <t>ครั้ง</t>
        </is>
      </c>
      <c r="C198" s="169" t="n">
        <v>15</v>
      </c>
      <c r="D198" s="166">
        <f>C198*0.143</f>
        <v/>
      </c>
      <c r="E198" s="368" t="n"/>
      <c r="F198" s="368" t="n"/>
      <c r="G198" s="368" t="n"/>
      <c r="H198" s="368" t="n"/>
      <c r="I198" s="368" t="n"/>
      <c r="J198" s="368" t="n"/>
      <c r="K198" s="368" t="n"/>
      <c r="L198" s="368" t="n"/>
      <c r="M198" s="368" t="n"/>
      <c r="N198" s="368" t="n"/>
      <c r="O198" s="368" t="n"/>
      <c r="P198" s="368" t="n"/>
      <c r="Q198" s="368" t="n"/>
      <c r="R198" s="368" t="n"/>
      <c r="S198" s="368" t="n"/>
      <c r="T198" s="368" t="n"/>
      <c r="U198" s="368" t="n"/>
      <c r="V198" s="368" t="n"/>
      <c r="W198" s="368" t="n"/>
      <c r="X198" s="368" t="n"/>
      <c r="Y198" s="368" t="n"/>
      <c r="Z198" s="368" t="n"/>
      <c r="AA198" s="368" t="n"/>
      <c r="AB198" s="368" t="n"/>
      <c r="AC198" s="368" t="n"/>
      <c r="AD198" s="368" t="n"/>
      <c r="AE198" s="368" t="n"/>
      <c r="AF198" s="368" t="n"/>
      <c r="AG198" s="368" t="n"/>
      <c r="AH198" s="368" t="n"/>
      <c r="AI198" s="368" t="n"/>
      <c r="AJ198" s="223">
        <f>SUM(E198:AI198)</f>
        <v/>
      </c>
      <c r="AK198" s="154">
        <f>AJ198*D198</f>
        <v/>
      </c>
    </row>
    <row r="199">
      <c r="A199" s="367" t="inlineStr">
        <is>
          <t>7.การดูแลรักษาความปลอดภัยและการเข้าถึงไฟล์ระบบกล้องวงจรปิด</t>
        </is>
      </c>
      <c r="B199" s="169" t="inlineStr">
        <is>
          <t>ครั้ง</t>
        </is>
      </c>
      <c r="C199" s="169" t="n">
        <v>30</v>
      </c>
      <c r="D199" s="166">
        <f>C199*0.143</f>
        <v/>
      </c>
      <c r="E199" s="368" t="n"/>
      <c r="F199" s="368" t="n"/>
      <c r="G199" s="368" t="n"/>
      <c r="H199" s="368" t="n"/>
      <c r="I199" s="368" t="n"/>
      <c r="J199" s="368" t="n"/>
      <c r="K199" s="368" t="n"/>
      <c r="L199" s="368" t="n"/>
      <c r="M199" s="368" t="n"/>
      <c r="N199" s="368" t="n"/>
      <c r="O199" s="368" t="n"/>
      <c r="P199" s="368" t="n"/>
      <c r="Q199" s="368" t="n"/>
      <c r="R199" s="368" t="n"/>
      <c r="S199" s="368" t="n"/>
      <c r="T199" s="368" t="n"/>
      <c r="U199" s="368" t="n"/>
      <c r="V199" s="368" t="n"/>
      <c r="W199" s="368" t="n"/>
      <c r="X199" s="368" t="n"/>
      <c r="Y199" s="368" t="n"/>
      <c r="Z199" s="368" t="n"/>
      <c r="AA199" s="368" t="n"/>
      <c r="AB199" s="368" t="n"/>
      <c r="AC199" s="368" t="n"/>
      <c r="AD199" s="368" t="n"/>
      <c r="AE199" s="368" t="n"/>
      <c r="AF199" s="368" t="n"/>
      <c r="AG199" s="368" t="n"/>
      <c r="AH199" s="368" t="n"/>
      <c r="AI199" s="368" t="n"/>
      <c r="AJ199" s="223">
        <f>SUM(E199:AI199)</f>
        <v/>
      </c>
      <c r="AK199" s="154">
        <f>AJ199*D199</f>
        <v/>
      </c>
    </row>
    <row r="200" ht="25" customHeight="1">
      <c r="A200" s="178" t="inlineStr">
        <is>
          <t>8.ทำทะเบียนเบิก/ยืมรายการอุปกรณ์เทคโนโลยีสารสนเทศ</t>
        </is>
      </c>
      <c r="B200" s="169" t="inlineStr">
        <is>
          <t>วัน</t>
        </is>
      </c>
      <c r="C200" s="169" t="n">
        <v>15</v>
      </c>
      <c r="D200" s="166">
        <f>C200*0.143</f>
        <v/>
      </c>
      <c r="E200" s="368" t="n"/>
      <c r="F200" s="368" t="n"/>
      <c r="G200" s="368" t="n"/>
      <c r="H200" s="368" t="n"/>
      <c r="I200" s="368" t="n"/>
      <c r="J200" s="368" t="n"/>
      <c r="K200" s="368" t="n"/>
      <c r="L200" s="368" t="n"/>
      <c r="M200" s="368" t="n"/>
      <c r="N200" s="368" t="n"/>
      <c r="O200" s="368" t="n"/>
      <c r="P200" s="368" t="n"/>
      <c r="Q200" s="368" t="n"/>
      <c r="R200" s="434" t="n"/>
      <c r="S200" s="368" t="n"/>
      <c r="T200" s="368" t="n"/>
      <c r="U200" s="368" t="n"/>
      <c r="V200" s="368" t="n"/>
      <c r="W200" s="434" t="n"/>
      <c r="X200" s="368" t="n"/>
      <c r="Y200" s="368" t="n"/>
      <c r="Z200" s="368" t="n"/>
      <c r="AA200" s="368" t="n"/>
      <c r="AB200" s="368" t="n"/>
      <c r="AC200" s="368" t="n"/>
      <c r="AD200" s="368" t="n"/>
      <c r="AE200" s="368" t="n"/>
      <c r="AF200" s="368" t="n"/>
      <c r="AG200" s="434" t="n"/>
      <c r="AH200" s="368" t="n"/>
      <c r="AI200" s="368" t="n"/>
      <c r="AJ200" s="223">
        <f>SUM(E200:AI200)</f>
        <v/>
      </c>
      <c r="AK200" s="154">
        <f>AJ200*D200</f>
        <v/>
      </c>
    </row>
    <row r="201" ht="75" customHeight="1">
      <c r="A201" s="178" t="inlineStr">
        <is>
          <t>9.นำข้อมูลเข้าระบบฐานข้อมูลเบิกยืมอุปกรณ์เทคโนโลยีสารสนเทศ ดูแลและจัดการการใช้งานระบบเบิกยืมอุปกรณ์เทคโนโลยีสารสนเทศ</t>
        </is>
      </c>
      <c r="B201" s="231" t="inlineStr">
        <is>
          <t xml:space="preserve">ครั้ง </t>
        </is>
      </c>
      <c r="C201" s="231" t="n">
        <v>15</v>
      </c>
      <c r="D201" s="237">
        <f>C201*0.143</f>
        <v/>
      </c>
      <c r="E201" s="432" t="n"/>
      <c r="F201" s="432" t="n"/>
      <c r="G201" s="432" t="n"/>
      <c r="H201" s="432" t="n"/>
      <c r="I201" s="432" t="n"/>
      <c r="J201" s="432" t="n"/>
      <c r="K201" s="432" t="n"/>
      <c r="L201" s="432" t="n"/>
      <c r="M201" s="432" t="n"/>
      <c r="N201" s="432" t="n"/>
      <c r="O201" s="432" t="n"/>
      <c r="P201" s="432" t="n"/>
      <c r="Q201" s="432" t="n"/>
      <c r="R201" s="432" t="n"/>
      <c r="S201" s="432" t="n"/>
      <c r="T201" s="432" t="n"/>
      <c r="U201" s="432" t="n"/>
      <c r="V201" s="432" t="n"/>
      <c r="W201" s="432" t="n"/>
      <c r="X201" s="432" t="n"/>
      <c r="Y201" s="432" t="n"/>
      <c r="Z201" s="432" t="n"/>
      <c r="AA201" s="432" t="n"/>
      <c r="AB201" s="432" t="n"/>
      <c r="AC201" s="432" t="n"/>
      <c r="AD201" s="432" t="n"/>
      <c r="AE201" s="432" t="n"/>
      <c r="AF201" s="432" t="n"/>
      <c r="AG201" s="432" t="n"/>
      <c r="AH201" s="432" t="n"/>
      <c r="AI201" s="432" t="n"/>
      <c r="AJ201" s="238">
        <f>SUM(E201:AI201)</f>
        <v/>
      </c>
      <c r="AK201" s="180">
        <f>AJ201*D201</f>
        <v/>
      </c>
    </row>
    <row r="202" ht="25" customHeight="1">
      <c r="A202" s="158" t="inlineStr">
        <is>
          <t>งานบริการห้องสมุด และ ฐานข้อมูลการสืบค้น</t>
        </is>
      </c>
      <c r="B202" s="226" t="n"/>
      <c r="C202" s="227" t="n"/>
      <c r="D202" s="239" t="n"/>
      <c r="E202" s="363" t="n"/>
      <c r="F202" s="363" t="n"/>
      <c r="G202" s="363" t="n"/>
      <c r="H202" s="363" t="n"/>
      <c r="I202" s="363" t="n"/>
      <c r="J202" s="363" t="n"/>
      <c r="K202" s="363" t="n"/>
      <c r="L202" s="363" t="n"/>
      <c r="M202" s="363" t="n"/>
      <c r="N202" s="363" t="n"/>
      <c r="O202" s="363" t="n"/>
      <c r="P202" s="363" t="n"/>
      <c r="Q202" s="363" t="n"/>
      <c r="R202" s="363" t="n"/>
      <c r="S202" s="363" t="n"/>
      <c r="T202" s="363" t="n"/>
      <c r="U202" s="363" t="n"/>
      <c r="V202" s="363" t="n"/>
      <c r="W202" s="363" t="n"/>
      <c r="X202" s="363" t="n"/>
      <c r="Y202" s="363" t="n"/>
      <c r="Z202" s="363" t="n"/>
      <c r="AA202" s="363" t="n"/>
      <c r="AB202" s="363" t="n"/>
      <c r="AC202" s="363" t="n"/>
      <c r="AD202" s="363" t="n"/>
      <c r="AE202" s="363" t="n"/>
      <c r="AF202" s="363" t="n"/>
      <c r="AG202" s="363" t="n"/>
      <c r="AH202" s="363" t="n"/>
      <c r="AI202" s="363" t="n"/>
      <c r="AJ202" s="215" t="n"/>
      <c r="AK202" s="620" t="n"/>
    </row>
    <row r="203" ht="50" customHeight="1">
      <c r="A203" s="171" t="inlineStr">
        <is>
          <t>1.สร้างแบบสำรวจ แบบประเมินความต้องการ หรือประเมินความพึงพอใจผู้ใช้บริการงานห้องสมุด</t>
        </is>
      </c>
      <c r="B203" s="233" t="inlineStr">
        <is>
          <t>ฟอร์ม</t>
        </is>
      </c>
      <c r="C203" s="233" t="n">
        <v>15</v>
      </c>
      <c r="D203" s="234">
        <f>C203*0.143</f>
        <v/>
      </c>
      <c r="E203" s="433" t="n"/>
      <c r="F203" s="433" t="n"/>
      <c r="G203" s="433" t="n"/>
      <c r="H203" s="433" t="n"/>
      <c r="I203" s="433" t="n"/>
      <c r="J203" s="433" t="n"/>
      <c r="K203" s="433" t="n"/>
      <c r="L203" s="433" t="n"/>
      <c r="M203" s="433" t="n"/>
      <c r="N203" s="433" t="n"/>
      <c r="O203" s="433" t="n"/>
      <c r="P203" s="433" t="n"/>
      <c r="Q203" s="433" t="n"/>
      <c r="R203" s="433" t="n"/>
      <c r="S203" s="433" t="n"/>
      <c r="T203" s="433" t="n"/>
      <c r="U203" s="433" t="n"/>
      <c r="V203" s="433" t="n"/>
      <c r="W203" s="433" t="n"/>
      <c r="X203" s="433" t="n"/>
      <c r="Y203" s="433" t="n"/>
      <c r="Z203" s="433" t="n"/>
      <c r="AA203" s="433" t="n"/>
      <c r="AB203" s="433" t="n"/>
      <c r="AC203" s="433" t="n"/>
      <c r="AD203" s="433" t="n"/>
      <c r="AE203" s="433" t="n"/>
      <c r="AF203" s="433" t="n"/>
      <c r="AG203" s="433" t="n"/>
      <c r="AH203" s="433" t="n"/>
      <c r="AI203" s="433" t="n"/>
      <c r="AJ203" s="223">
        <f>SUM(E203:AI203)</f>
        <v/>
      </c>
      <c r="AK203" s="154">
        <f>AJ203*D203</f>
        <v/>
      </c>
    </row>
    <row r="204" ht="25" customHeight="1">
      <c r="A204" s="164" t="inlineStr">
        <is>
          <t>2.ทำทะเบียนรายการ หนังสือ ตำรา ฐานข้อมูลเพื่อการสืบค้น</t>
        </is>
      </c>
      <c r="B204" s="169" t="inlineStr">
        <is>
          <t>เล่ม</t>
        </is>
      </c>
      <c r="C204" s="169" t="n">
        <v>10</v>
      </c>
      <c r="D204" s="166">
        <f>C204*0.143</f>
        <v/>
      </c>
      <c r="E204" s="368" t="n"/>
      <c r="F204" s="368" t="n"/>
      <c r="G204" s="368" t="n"/>
      <c r="H204" s="368" t="n"/>
      <c r="I204" s="368" t="n"/>
      <c r="J204" s="368" t="n"/>
      <c r="K204" s="368" t="n"/>
      <c r="L204" s="368" t="n"/>
      <c r="M204" s="368" t="n"/>
      <c r="N204" s="368" t="n"/>
      <c r="O204" s="368" t="n"/>
      <c r="P204" s="368" t="n"/>
      <c r="Q204" s="368" t="n"/>
      <c r="R204" s="368" t="n"/>
      <c r="S204" s="368" t="n"/>
      <c r="T204" s="368" t="n"/>
      <c r="U204" s="368" t="n"/>
      <c r="V204" s="368" t="n"/>
      <c r="W204" s="368" t="n"/>
      <c r="X204" s="368" t="n"/>
      <c r="Y204" s="368" t="n"/>
      <c r="Z204" s="368" t="n"/>
      <c r="AA204" s="368" t="n"/>
      <c r="AB204" s="368" t="n"/>
      <c r="AC204" s="368" t="n"/>
      <c r="AD204" s="368" t="n"/>
      <c r="AE204" s="368" t="n"/>
      <c r="AF204" s="368" t="n"/>
      <c r="AG204" s="368" t="n"/>
      <c r="AH204" s="368" t="n"/>
      <c r="AI204" s="368" t="n"/>
      <c r="AJ204" s="223">
        <f>SUM(E204:AI204)</f>
        <v/>
      </c>
      <c r="AK204" s="154">
        <f>AJ204*D204</f>
        <v/>
      </c>
    </row>
    <row r="205" ht="25" customHeight="1">
      <c r="A205" s="178" t="inlineStr">
        <is>
          <t>3.นำข้อมูลเข้าระบบฐานข้อมูลเบิกยืมหนังสือ ตำราห้องสมุด</t>
        </is>
      </c>
      <c r="B205" s="169" t="inlineStr">
        <is>
          <t>เล่ม</t>
        </is>
      </c>
      <c r="C205" s="169" t="n">
        <v>10</v>
      </c>
      <c r="D205" s="166">
        <f>C205*0.143</f>
        <v/>
      </c>
      <c r="E205" s="368" t="n"/>
      <c r="F205" s="368" t="n"/>
      <c r="G205" s="368" t="n"/>
      <c r="H205" s="368" t="n"/>
      <c r="I205" s="368" t="n"/>
      <c r="J205" s="368" t="n"/>
      <c r="K205" s="368" t="n"/>
      <c r="L205" s="368" t="n"/>
      <c r="M205" s="368" t="n"/>
      <c r="N205" s="368" t="n"/>
      <c r="O205" s="368" t="n"/>
      <c r="P205" s="368" t="n"/>
      <c r="Q205" s="368" t="n"/>
      <c r="R205" s="368" t="n"/>
      <c r="S205" s="368" t="n"/>
      <c r="T205" s="368" t="n"/>
      <c r="U205" s="368" t="n"/>
      <c r="V205" s="368" t="n"/>
      <c r="W205" s="368" t="n"/>
      <c r="X205" s="368" t="n"/>
      <c r="Y205" s="368" t="n"/>
      <c r="Z205" s="368" t="n"/>
      <c r="AA205" s="368" t="n"/>
      <c r="AB205" s="368" t="n"/>
      <c r="AC205" s="368" t="n"/>
      <c r="AD205" s="368" t="n"/>
      <c r="AE205" s="368" t="n"/>
      <c r="AF205" s="368" t="n"/>
      <c r="AG205" s="368" t="n"/>
      <c r="AH205" s="368" t="n"/>
      <c r="AI205" s="368" t="n"/>
      <c r="AJ205" s="223">
        <f>SUM(E205:AI205)</f>
        <v/>
      </c>
      <c r="AK205" s="154">
        <f>AJ205*D205</f>
        <v/>
      </c>
    </row>
    <row r="206" ht="25" customHeight="1">
      <c r="A206" s="178" t="inlineStr">
        <is>
          <t>4.พัฒนาและปรับปรุงแอฟพลิเคชันห้องสมุด (DEV)</t>
        </is>
      </c>
      <c r="B206" s="169" t="inlineStr">
        <is>
          <t>วัน</t>
        </is>
      </c>
      <c r="C206" s="169" t="inlineStr">
        <is>
          <t>เหมา</t>
        </is>
      </c>
      <c r="D206" s="166" t="n">
        <v>30</v>
      </c>
      <c r="E206" s="368" t="n"/>
      <c r="F206" s="368" t="n"/>
      <c r="G206" s="368" t="n"/>
      <c r="H206" s="368" t="n"/>
      <c r="I206" s="368" t="n"/>
      <c r="J206" s="368" t="n"/>
      <c r="K206" s="368" t="n"/>
      <c r="L206" s="368" t="n"/>
      <c r="M206" s="368" t="n"/>
      <c r="N206" s="368" t="n"/>
      <c r="O206" s="368" t="n"/>
      <c r="P206" s="368" t="n"/>
      <c r="Q206" s="368" t="n"/>
      <c r="R206" s="368" t="n"/>
      <c r="S206" s="368" t="n"/>
      <c r="T206" s="368" t="n"/>
      <c r="U206" s="368" t="n"/>
      <c r="V206" s="368" t="n"/>
      <c r="W206" s="368" t="n"/>
      <c r="X206" s="368" t="n"/>
      <c r="Y206" s="368" t="n"/>
      <c r="Z206" s="368" t="n"/>
      <c r="AA206" s="368" t="n"/>
      <c r="AB206" s="368" t="n"/>
      <c r="AC206" s="368" t="n"/>
      <c r="AD206" s="368" t="n"/>
      <c r="AE206" s="368" t="n"/>
      <c r="AF206" s="368" t="n"/>
      <c r="AG206" s="368" t="n"/>
      <c r="AH206" s="368" t="n"/>
      <c r="AI206" s="368" t="n"/>
      <c r="AJ206" s="223">
        <f>SUM(E206:AI206)</f>
        <v/>
      </c>
      <c r="AK206" s="154">
        <f>AJ206*D206</f>
        <v/>
      </c>
    </row>
    <row r="207" ht="50" customHeight="1">
      <c r="A207" s="178" t="inlineStr">
        <is>
          <t>5.ให้ความช่วยเหลือและแนะนำการแก้ปัญหาแก่ผู้ใช้บริการงานห้องสมุด</t>
        </is>
      </c>
      <c r="B207" s="169" t="inlineStr">
        <is>
          <t>ราย</t>
        </is>
      </c>
      <c r="C207" s="169" t="n">
        <v>5</v>
      </c>
      <c r="D207" s="166">
        <f>C207*0.143</f>
        <v/>
      </c>
      <c r="E207" s="368" t="n"/>
      <c r="F207" s="368" t="n"/>
      <c r="G207" s="368" t="n"/>
      <c r="H207" s="368" t="n"/>
      <c r="I207" s="368" t="n"/>
      <c r="J207" s="368" t="n"/>
      <c r="K207" s="368" t="n"/>
      <c r="L207" s="368" t="n"/>
      <c r="M207" s="368" t="n"/>
      <c r="N207" s="368" t="n"/>
      <c r="O207" s="368" t="n"/>
      <c r="P207" s="368" t="n"/>
      <c r="Q207" s="368" t="n"/>
      <c r="R207" s="368" t="n"/>
      <c r="S207" s="368" t="n"/>
      <c r="T207" s="368" t="n"/>
      <c r="U207" s="368" t="n"/>
      <c r="V207" s="368" t="n"/>
      <c r="W207" s="368" t="n"/>
      <c r="X207" s="368" t="n"/>
      <c r="Y207" s="368" t="n"/>
      <c r="Z207" s="368" t="n"/>
      <c r="AA207" s="368" t="n"/>
      <c r="AB207" s="368" t="n"/>
      <c r="AC207" s="368" t="n"/>
      <c r="AD207" s="368" t="n"/>
      <c r="AE207" s="368" t="n"/>
      <c r="AF207" s="368" t="n"/>
      <c r="AG207" s="368" t="n"/>
      <c r="AH207" s="368" t="n"/>
      <c r="AI207" s="368" t="n"/>
      <c r="AJ207" s="223">
        <f>SUM(E207:AI207)</f>
        <v/>
      </c>
      <c r="AK207" s="154">
        <f>AJ207*D207</f>
        <v/>
      </c>
    </row>
    <row r="208" ht="25" customHeight="1">
      <c r="A208" s="178" t="inlineStr">
        <is>
          <t>6.ช่วยสืบค้นหนังสือในระบบอิเล็กทรอนิกส์</t>
        </is>
      </c>
      <c r="B208" s="169" t="inlineStr">
        <is>
          <t>เล่ม</t>
        </is>
      </c>
      <c r="C208" s="169" t="n">
        <v>10</v>
      </c>
      <c r="D208" s="166">
        <f>C208*0.143</f>
        <v/>
      </c>
      <c r="E208" s="368" t="n"/>
      <c r="F208" s="368" t="n"/>
      <c r="G208" s="368" t="n"/>
      <c r="H208" s="368" t="n"/>
      <c r="I208" s="368" t="n"/>
      <c r="J208" s="368" t="n"/>
      <c r="K208" s="368" t="n"/>
      <c r="L208" s="368" t="n"/>
      <c r="M208" s="368" t="n"/>
      <c r="N208" s="368" t="n"/>
      <c r="O208" s="368" t="n"/>
      <c r="P208" s="368" t="n"/>
      <c r="Q208" s="368" t="n"/>
      <c r="R208" s="368" t="n"/>
      <c r="S208" s="368" t="n"/>
      <c r="T208" s="368" t="n"/>
      <c r="U208" s="368" t="n"/>
      <c r="V208" s="368" t="n"/>
      <c r="W208" s="368" t="n"/>
      <c r="X208" s="368" t="n"/>
      <c r="Y208" s="368" t="n"/>
      <c r="Z208" s="368" t="n"/>
      <c r="AA208" s="368" t="n"/>
      <c r="AB208" s="368" t="n"/>
      <c r="AC208" s="368" t="n"/>
      <c r="AD208" s="368" t="n"/>
      <c r="AE208" s="368" t="n"/>
      <c r="AF208" s="368" t="n"/>
      <c r="AG208" s="368" t="n"/>
      <c r="AH208" s="368" t="n"/>
      <c r="AI208" s="368" t="n"/>
      <c r="AJ208" s="223">
        <f>SUM(E208:AI208)</f>
        <v/>
      </c>
      <c r="AK208" s="154">
        <f>AJ208*D208</f>
        <v/>
      </c>
    </row>
    <row r="209">
      <c r="A209" s="183" t="inlineStr">
        <is>
          <t>การเตรียมการ/จัดประชุม</t>
        </is>
      </c>
      <c r="B209" s="243" t="n"/>
      <c r="C209" s="244" t="n"/>
      <c r="D209" s="245" t="n"/>
      <c r="E209" s="246" t="n"/>
      <c r="F209" s="246" t="n"/>
      <c r="G209" s="246" t="n"/>
      <c r="H209" s="246" t="n"/>
      <c r="I209" s="246" t="n"/>
      <c r="J209" s="246" t="n"/>
      <c r="K209" s="246" t="n"/>
      <c r="L209" s="246" t="n"/>
      <c r="M209" s="246" t="n"/>
      <c r="N209" s="246" t="n"/>
      <c r="O209" s="246" t="n"/>
      <c r="P209" s="246" t="n"/>
      <c r="Q209" s="246" t="n"/>
      <c r="R209" s="246" t="n"/>
      <c r="S209" s="246" t="n"/>
      <c r="T209" s="246" t="n"/>
      <c r="U209" s="246" t="n"/>
      <c r="V209" s="246" t="n"/>
      <c r="W209" s="246" t="n"/>
      <c r="X209" s="246" t="n"/>
      <c r="Y209" s="246" t="n"/>
      <c r="Z209" s="246" t="n"/>
      <c r="AA209" s="246" t="n"/>
      <c r="AB209" s="246" t="n"/>
      <c r="AC209" s="246" t="n"/>
      <c r="AD209" s="246" t="n"/>
      <c r="AE209" s="246" t="n"/>
      <c r="AF209" s="246" t="n"/>
      <c r="AG209" s="246" t="n"/>
      <c r="AH209" s="246" t="n"/>
      <c r="AI209" s="246" t="n"/>
      <c r="AJ209" s="247" t="n"/>
      <c r="AK209" s="67" t="n"/>
    </row>
    <row r="210" ht="25" customHeight="1">
      <c r="A210" s="74" t="inlineStr">
        <is>
          <t xml:space="preserve"> - จัดเตรียมไฟล์ Power point สำหรับนำเสนอข้อมูล</t>
        </is>
      </c>
      <c r="B210" s="249" t="inlineStr">
        <is>
          <t>ครั้ง</t>
        </is>
      </c>
      <c r="C210" s="249" t="n">
        <v>60</v>
      </c>
      <c r="D210" s="250">
        <f>C210*0.143</f>
        <v/>
      </c>
      <c r="E210" s="251" t="n"/>
      <c r="F210" s="251" t="n"/>
      <c r="G210" s="251" t="n"/>
      <c r="H210" s="251" t="n"/>
      <c r="I210" s="251" t="n"/>
      <c r="J210" s="251" t="n"/>
      <c r="K210" s="251" t="n"/>
      <c r="L210" s="251" t="n"/>
      <c r="M210" s="251" t="n"/>
      <c r="N210" s="251" t="n"/>
      <c r="O210" s="251" t="n"/>
      <c r="P210" s="251" t="n"/>
      <c r="Q210" s="251" t="n"/>
      <c r="R210" s="251" t="n"/>
      <c r="S210" s="251" t="n"/>
      <c r="T210" s="251" t="n"/>
      <c r="U210" s="251" t="n"/>
      <c r="V210" s="251" t="n"/>
      <c r="W210" s="251" t="n"/>
      <c r="X210" s="251" t="n"/>
      <c r="Y210" s="251" t="n"/>
      <c r="Z210" s="251" t="n"/>
      <c r="AA210" s="251" t="n"/>
      <c r="AB210" s="251" t="n"/>
      <c r="AC210" s="251" t="n"/>
      <c r="AD210" s="251" t="n"/>
      <c r="AE210" s="251" t="n"/>
      <c r="AF210" s="251" t="n"/>
      <c r="AG210" s="251" t="n"/>
      <c r="AH210" s="251" t="n"/>
      <c r="AI210" s="251" t="n"/>
      <c r="AJ210" s="252">
        <f>SUM(E210:AI210)</f>
        <v/>
      </c>
      <c r="AK210" s="188">
        <f>AJ210*D210</f>
        <v/>
      </c>
    </row>
    <row r="211" ht="25" customHeight="1">
      <c r="A211" s="94" t="inlineStr">
        <is>
          <t xml:space="preserve"> - จัดทำเอกสารประกอบการประชุม/อบรม ฯลฯ</t>
        </is>
      </c>
      <c r="B211" s="254" t="inlineStr">
        <is>
          <t>ครั้ง</t>
        </is>
      </c>
      <c r="C211" s="251" t="n">
        <v>15</v>
      </c>
      <c r="D211" s="250">
        <f>C211*0.143</f>
        <v/>
      </c>
      <c r="E211" s="251" t="n"/>
      <c r="F211" s="251" t="n"/>
      <c r="G211" s="251" t="n"/>
      <c r="H211" s="251" t="n"/>
      <c r="I211" s="251" t="n"/>
      <c r="J211" s="251" t="n"/>
      <c r="K211" s="251" t="n"/>
      <c r="L211" s="251" t="n"/>
      <c r="M211" s="251" t="n"/>
      <c r="N211" s="251" t="n"/>
      <c r="O211" s="251" t="n"/>
      <c r="P211" s="251" t="n"/>
      <c r="Q211" s="251" t="n"/>
      <c r="R211" s="251" t="n"/>
      <c r="S211" s="251" t="n"/>
      <c r="T211" s="251" t="n"/>
      <c r="U211" s="251" t="n"/>
      <c r="V211" s="251" t="n"/>
      <c r="W211" s="251" t="n"/>
      <c r="X211" s="251" t="n"/>
      <c r="Y211" s="251" t="n"/>
      <c r="Z211" s="251" t="n"/>
      <c r="AA211" s="251" t="n"/>
      <c r="AB211" s="251" t="n"/>
      <c r="AC211" s="251" t="n"/>
      <c r="AD211" s="251" t="n"/>
      <c r="AE211" s="251" t="n"/>
      <c r="AF211" s="251" t="n"/>
      <c r="AG211" s="251" t="n"/>
      <c r="AH211" s="251" t="n"/>
      <c r="AI211" s="251" t="n"/>
      <c r="AJ211" s="252">
        <f>SUM(E211:AI211)</f>
        <v/>
      </c>
      <c r="AK211" s="188">
        <f>AJ211*D211</f>
        <v/>
      </c>
    </row>
    <row r="212">
      <c r="A212" s="189" t="inlineStr">
        <is>
          <t xml:space="preserve"> - การจัดเตรียมสถานที่ อุปกรณ์ สนับสนุนการประชุม</t>
        </is>
      </c>
      <c r="B212" s="256" t="inlineStr">
        <is>
          <t>ครั้ง</t>
        </is>
      </c>
      <c r="C212" s="257" t="n">
        <v>30</v>
      </c>
      <c r="D212" s="250">
        <f>C212*0.143</f>
        <v/>
      </c>
      <c r="E212" s="258" t="n"/>
      <c r="F212" s="258" t="n"/>
      <c r="G212" s="258" t="n"/>
      <c r="H212" s="258" t="n"/>
      <c r="I212" s="258" t="n"/>
      <c r="J212" s="258" t="n"/>
      <c r="K212" s="258" t="n"/>
      <c r="L212" s="258" t="n"/>
      <c r="M212" s="258" t="n"/>
      <c r="N212" s="258" t="n"/>
      <c r="O212" s="258" t="n"/>
      <c r="P212" s="258" t="n"/>
      <c r="Q212" s="258" t="n"/>
      <c r="R212" s="258" t="n"/>
      <c r="S212" s="258" t="n"/>
      <c r="T212" s="258" t="n"/>
      <c r="U212" s="258" t="n"/>
      <c r="V212" s="258" t="n"/>
      <c r="W212" s="258" t="n"/>
      <c r="X212" s="258" t="n"/>
      <c r="Y212" s="258" t="n"/>
      <c r="Z212" s="258" t="n"/>
      <c r="AA212" s="258" t="n"/>
      <c r="AB212" s="258" t="n"/>
      <c r="AC212" s="258" t="n"/>
      <c r="AD212" s="258" t="n"/>
      <c r="AE212" s="258" t="n"/>
      <c r="AF212" s="258" t="n"/>
      <c r="AG212" s="258" t="n"/>
      <c r="AH212" s="258" t="n"/>
      <c r="AI212" s="258" t="n"/>
      <c r="AJ212" s="252">
        <f>SUM(E212:AI212)</f>
        <v/>
      </c>
      <c r="AK212" s="188">
        <f>AJ212*D212</f>
        <v/>
      </c>
    </row>
    <row r="213">
      <c r="A213" s="189" t="inlineStr">
        <is>
          <t xml:space="preserve"> - ช่วยลงทะเบียน/เอกสาร</t>
        </is>
      </c>
      <c r="B213" s="259" t="inlineStr">
        <is>
          <t>ครั้ง</t>
        </is>
      </c>
      <c r="C213" s="260" t="n">
        <v>30</v>
      </c>
      <c r="D213" s="250">
        <f>C213*0.143</f>
        <v/>
      </c>
      <c r="E213" s="261" t="n"/>
      <c r="F213" s="261" t="n"/>
      <c r="G213" s="261" t="n"/>
      <c r="H213" s="261" t="n"/>
      <c r="I213" s="261" t="n"/>
      <c r="J213" s="261" t="n"/>
      <c r="K213" s="261" t="n"/>
      <c r="L213" s="261" t="n"/>
      <c r="M213" s="261" t="n"/>
      <c r="N213" s="261" t="n"/>
      <c r="O213" s="261" t="n"/>
      <c r="P213" s="261" t="n"/>
      <c r="Q213" s="261" t="n"/>
      <c r="R213" s="261" t="n"/>
      <c r="S213" s="261" t="n"/>
      <c r="T213" s="261" t="n"/>
      <c r="U213" s="261" t="n"/>
      <c r="V213" s="261" t="n"/>
      <c r="W213" s="261" t="n"/>
      <c r="X213" s="261" t="n"/>
      <c r="Y213" s="261" t="n"/>
      <c r="Z213" s="261" t="n"/>
      <c r="AA213" s="261" t="n"/>
      <c r="AB213" s="261" t="n"/>
      <c r="AC213" s="261" t="n"/>
      <c r="AD213" s="261" t="n"/>
      <c r="AE213" s="261" t="n"/>
      <c r="AF213" s="261" t="n"/>
      <c r="AG213" s="261" t="n"/>
      <c r="AH213" s="261" t="n"/>
      <c r="AI213" s="261" t="n"/>
      <c r="AJ213" s="252">
        <f>SUM(E213:AI213)</f>
        <v/>
      </c>
      <c r="AK213" s="188">
        <f>AJ213*D213</f>
        <v/>
      </c>
    </row>
    <row r="214">
      <c r="A214" s="189" t="inlineStr">
        <is>
          <t xml:space="preserve"> - จัดเตรียมอาหารว่าง/อาหารกลางวัน</t>
        </is>
      </c>
      <c r="B214" s="259" t="inlineStr">
        <is>
          <t>ครั้ง</t>
        </is>
      </c>
      <c r="C214" s="260" t="n">
        <v>30</v>
      </c>
      <c r="D214" s="250">
        <f>C214*0.143</f>
        <v/>
      </c>
      <c r="E214" s="261" t="n"/>
      <c r="F214" s="261" t="n"/>
      <c r="G214" s="261" t="n"/>
      <c r="H214" s="261" t="n"/>
      <c r="I214" s="261" t="n"/>
      <c r="J214" s="261" t="n"/>
      <c r="K214" s="261" t="n"/>
      <c r="L214" s="261" t="n"/>
      <c r="M214" s="261" t="n"/>
      <c r="N214" s="261" t="n"/>
      <c r="O214" s="261" t="n"/>
      <c r="P214" s="261" t="n"/>
      <c r="Q214" s="261" t="n"/>
      <c r="R214" s="261" t="n"/>
      <c r="S214" s="261" t="n"/>
      <c r="T214" s="261" t="n"/>
      <c r="U214" s="261" t="n"/>
      <c r="V214" s="261" t="n"/>
      <c r="W214" s="261" t="n"/>
      <c r="X214" s="261" t="n"/>
      <c r="Y214" s="261" t="n"/>
      <c r="Z214" s="261" t="n"/>
      <c r="AA214" s="261" t="n"/>
      <c r="AB214" s="261" t="n"/>
      <c r="AC214" s="261" t="n"/>
      <c r="AD214" s="261" t="n"/>
      <c r="AE214" s="261" t="n"/>
      <c r="AF214" s="261" t="n"/>
      <c r="AG214" s="261" t="n"/>
      <c r="AH214" s="261" t="n"/>
      <c r="AI214" s="261" t="n"/>
      <c r="AJ214" s="252">
        <f>SUM(E214:AI214)</f>
        <v/>
      </c>
      <c r="AK214" s="188">
        <f>AJ214*D214</f>
        <v/>
      </c>
    </row>
    <row r="215">
      <c r="A215" s="196" t="inlineStr">
        <is>
          <t xml:space="preserve"> - จัดเตรียมของรางวัล</t>
        </is>
      </c>
      <c r="B215" s="263" t="inlineStr">
        <is>
          <t>ครั้ง</t>
        </is>
      </c>
      <c r="C215" s="264" t="n">
        <v>30</v>
      </c>
      <c r="D215" s="250">
        <f>C215*0.143</f>
        <v/>
      </c>
      <c r="E215" s="265" t="n"/>
      <c r="F215" s="265" t="n"/>
      <c r="G215" s="265" t="n"/>
      <c r="H215" s="265" t="n"/>
      <c r="I215" s="265" t="n"/>
      <c r="J215" s="265" t="n"/>
      <c r="K215" s="265" t="n"/>
      <c r="L215" s="265" t="n"/>
      <c r="M215" s="265" t="n"/>
      <c r="N215" s="265" t="n"/>
      <c r="O215" s="265" t="n"/>
      <c r="P215" s="265" t="n"/>
      <c r="Q215" s="265" t="n"/>
      <c r="R215" s="265" t="n"/>
      <c r="S215" s="265" t="n"/>
      <c r="T215" s="265" t="n"/>
      <c r="U215" s="265" t="n"/>
      <c r="V215" s="265" t="n"/>
      <c r="W215" s="265" t="n"/>
      <c r="X215" s="265" t="n"/>
      <c r="Y215" s="265" t="n"/>
      <c r="Z215" s="265" t="n"/>
      <c r="AA215" s="265" t="n"/>
      <c r="AB215" s="265" t="n"/>
      <c r="AC215" s="265" t="n"/>
      <c r="AD215" s="265" t="n"/>
      <c r="AE215" s="265" t="n"/>
      <c r="AF215" s="265" t="n"/>
      <c r="AG215" s="265" t="n"/>
      <c r="AH215" s="265" t="n"/>
      <c r="AI215" s="265" t="n"/>
      <c r="AJ215" s="252">
        <f>SUM(E215:AI215)</f>
        <v/>
      </c>
      <c r="AK215" s="188">
        <f>AJ215*D215</f>
        <v/>
      </c>
    </row>
    <row r="216" ht="25" customHeight="1">
      <c r="A216" s="94" t="inlineStr">
        <is>
          <t xml:space="preserve"> - จัดทำการประเมินความพึงพอใจประกอบการประชุม/อบรม ฯลฯ</t>
        </is>
      </c>
      <c r="B216" s="266" t="inlineStr">
        <is>
          <t>ครั้ง</t>
        </is>
      </c>
      <c r="C216" s="267" t="n">
        <v>60</v>
      </c>
      <c r="D216" s="250">
        <f>C216*0.143</f>
        <v/>
      </c>
      <c r="E216" s="251" t="n"/>
      <c r="F216" s="251" t="n"/>
      <c r="G216" s="251" t="n"/>
      <c r="H216" s="251" t="n"/>
      <c r="I216" s="251" t="n"/>
      <c r="J216" s="251" t="n"/>
      <c r="K216" s="251" t="n"/>
      <c r="L216" s="251" t="n"/>
      <c r="M216" s="251" t="n"/>
      <c r="N216" s="251" t="n"/>
      <c r="O216" s="251" t="n"/>
      <c r="P216" s="251" t="n"/>
      <c r="Q216" s="251" t="n"/>
      <c r="R216" s="251" t="n"/>
      <c r="S216" s="251" t="n"/>
      <c r="T216" s="251" t="n"/>
      <c r="U216" s="251" t="n"/>
      <c r="V216" s="251" t="n"/>
      <c r="W216" s="251" t="n"/>
      <c r="X216" s="251" t="n"/>
      <c r="Y216" s="251" t="n"/>
      <c r="Z216" s="251" t="n"/>
      <c r="AA216" s="251" t="n"/>
      <c r="AB216" s="251" t="n"/>
      <c r="AC216" s="251" t="n"/>
      <c r="AD216" s="251" t="n"/>
      <c r="AE216" s="251" t="n"/>
      <c r="AF216" s="251" t="n"/>
      <c r="AG216" s="251" t="n"/>
      <c r="AH216" s="251" t="n"/>
      <c r="AI216" s="251" t="n"/>
      <c r="AJ216" s="252">
        <f>SUM(E216:AI216)</f>
        <v/>
      </c>
      <c r="AK216" s="188">
        <f>AJ216*D216</f>
        <v/>
      </c>
    </row>
    <row r="217" ht="25" customHeight="1">
      <c r="A217" s="369" t="inlineStr">
        <is>
          <t>งานอื่น ๆ (ส่วนกลาง)</t>
        </is>
      </c>
      <c r="B217" s="268" t="n"/>
      <c r="C217" s="268" t="n"/>
      <c r="D217" s="268" t="n"/>
      <c r="E217" s="370" t="n"/>
      <c r="F217" s="370" t="n"/>
      <c r="G217" s="370" t="n"/>
      <c r="H217" s="370" t="n"/>
      <c r="I217" s="370" t="n"/>
      <c r="J217" s="370" t="n"/>
      <c r="K217" s="370" t="n"/>
      <c r="L217" s="370" t="n"/>
      <c r="M217" s="370" t="n"/>
      <c r="N217" s="370" t="n"/>
      <c r="O217" s="370" t="n"/>
      <c r="P217" s="370" t="n"/>
      <c r="Q217" s="370" t="n"/>
      <c r="R217" s="370" t="n"/>
      <c r="S217" s="370" t="n"/>
      <c r="T217" s="370" t="n"/>
      <c r="U217" s="370" t="n"/>
      <c r="V217" s="370" t="n"/>
      <c r="W217" s="370" t="n"/>
      <c r="X217" s="370" t="n"/>
      <c r="Y217" s="370" t="n"/>
      <c r="Z217" s="370" t="n"/>
      <c r="AA217" s="370" t="n"/>
      <c r="AB217" s="370" t="n"/>
      <c r="AC217" s="370" t="n"/>
      <c r="AD217" s="370" t="n"/>
      <c r="AE217" s="370" t="n"/>
      <c r="AF217" s="370" t="n"/>
      <c r="AG217" s="370" t="n"/>
      <c r="AH217" s="370" t="n"/>
      <c r="AI217" s="370" t="n"/>
      <c r="AJ217" s="370" t="n"/>
      <c r="AK217" s="621" t="n"/>
    </row>
    <row r="218">
      <c r="A218" s="372" t="inlineStr">
        <is>
          <t>1. เปิด/ปิดห้องสำนักงาน</t>
        </is>
      </c>
      <c r="B218" s="217" t="inlineStr">
        <is>
          <t>1 ครั้ง / วัน</t>
        </is>
      </c>
      <c r="C218" s="780" t="n"/>
      <c r="D218" s="217" t="n">
        <v>1.43</v>
      </c>
      <c r="E218" s="217" t="n"/>
      <c r="F218" s="217" t="n"/>
      <c r="G218" s="217" t="n"/>
      <c r="H218" s="217" t="n"/>
      <c r="I218" s="217" t="n"/>
      <c r="J218" s="217" t="n"/>
      <c r="K218" s="217" t="n"/>
      <c r="L218" s="217" t="n"/>
      <c r="M218" s="217" t="n"/>
      <c r="N218" s="217" t="n"/>
      <c r="O218" s="217" t="n"/>
      <c r="P218" s="217" t="n"/>
      <c r="Q218" s="217" t="n"/>
      <c r="R218" s="217" t="n"/>
      <c r="S218" s="217" t="n"/>
      <c r="T218" s="217" t="n"/>
      <c r="U218" s="217" t="n"/>
      <c r="V218" s="217" t="n"/>
      <c r="W218" s="217" t="n"/>
      <c r="X218" s="217" t="n"/>
      <c r="Y218" s="217" t="n"/>
      <c r="Z218" s="217" t="n"/>
      <c r="AA218" s="217" t="n"/>
      <c r="AB218" s="217" t="n"/>
      <c r="AC218" s="217" t="n"/>
      <c r="AD218" s="217" t="n"/>
      <c r="AE218" s="217" t="n"/>
      <c r="AF218" s="217" t="n"/>
      <c r="AG218" s="217" t="n"/>
      <c r="AH218" s="217" t="n"/>
      <c r="AI218" s="684" t="n"/>
      <c r="AJ218" s="436">
        <f>SUM(E218:AI218)</f>
        <v/>
      </c>
      <c r="AK218" s="153">
        <f>AJ218*D218</f>
        <v/>
      </c>
    </row>
    <row r="219">
      <c r="A219" s="375" t="inlineStr">
        <is>
          <t>2. เปิด/ปิดเครื่องใช้ไฟฟ้า</t>
        </is>
      </c>
      <c r="B219" s="217" t="inlineStr">
        <is>
          <t>1 ครั้ง / วัน</t>
        </is>
      </c>
      <c r="C219" s="780" t="n"/>
      <c r="D219" s="217" t="n">
        <v>1.43</v>
      </c>
      <c r="E219" s="217" t="n"/>
      <c r="F219" s="217" t="n"/>
      <c r="G219" s="217" t="n"/>
      <c r="H219" s="217" t="n"/>
      <c r="I219" s="217" t="n"/>
      <c r="J219" s="217" t="n"/>
      <c r="K219" s="217" t="n"/>
      <c r="L219" s="217" t="n"/>
      <c r="M219" s="217" t="n"/>
      <c r="N219" s="217" t="n"/>
      <c r="O219" s="217" t="n"/>
      <c r="P219" s="217" t="n"/>
      <c r="Q219" s="217" t="n"/>
      <c r="R219" s="217" t="n"/>
      <c r="S219" s="217" t="n"/>
      <c r="T219" s="217" t="n"/>
      <c r="U219" s="217" t="n"/>
      <c r="V219" s="217" t="n"/>
      <c r="W219" s="217" t="n"/>
      <c r="X219" s="217" t="n"/>
      <c r="Y219" s="217" t="n"/>
      <c r="Z219" s="217" t="n"/>
      <c r="AA219" s="217" t="n"/>
      <c r="AB219" s="217" t="n"/>
      <c r="AC219" s="217" t="n"/>
      <c r="AD219" s="217" t="n"/>
      <c r="AE219" s="217" t="n"/>
      <c r="AF219" s="217" t="n"/>
      <c r="AG219" s="217" t="n"/>
      <c r="AH219" s="217" t="n"/>
      <c r="AI219" s="217" t="n"/>
      <c r="AJ219" s="220">
        <f>SUM(E219:AI219)</f>
        <v/>
      </c>
      <c r="AK219" s="153">
        <f>AJ219*D219</f>
        <v/>
      </c>
    </row>
    <row r="220">
      <c r="A220" s="375" t="inlineStr">
        <is>
          <t>3. ดูแลความสะอาดเรียบร้อยอาคารสถานที่ 
 สิ่งแวดล้อมทั่วไป</t>
        </is>
      </c>
      <c r="B220" s="217" t="inlineStr">
        <is>
          <t>วัน</t>
        </is>
      </c>
      <c r="C220" s="217" t="inlineStr">
        <is>
          <t>เหมา</t>
        </is>
      </c>
      <c r="D220" s="217" t="n">
        <v>4.26</v>
      </c>
      <c r="E220" s="217" t="n"/>
      <c r="F220" s="217" t="n"/>
      <c r="G220" s="217" t="n"/>
      <c r="H220" s="217" t="n"/>
      <c r="I220" s="217" t="n"/>
      <c r="J220" s="217" t="n"/>
      <c r="K220" s="217" t="n"/>
      <c r="L220" s="217" t="n"/>
      <c r="M220" s="217" t="n"/>
      <c r="N220" s="217" t="n"/>
      <c r="O220" s="217" t="n"/>
      <c r="P220" s="217" t="n"/>
      <c r="Q220" s="217" t="n"/>
      <c r="R220" s="217" t="n"/>
      <c r="S220" s="217" t="n"/>
      <c r="T220" s="217" t="n"/>
      <c r="U220" s="217" t="n"/>
      <c r="V220" s="217" t="n"/>
      <c r="W220" s="217" t="n"/>
      <c r="X220" s="217" t="n"/>
      <c r="Y220" s="217" t="n"/>
      <c r="Z220" s="217" t="n"/>
      <c r="AA220" s="217" t="n"/>
      <c r="AB220" s="217" t="n"/>
      <c r="AC220" s="217" t="n"/>
      <c r="AD220" s="217" t="n"/>
      <c r="AE220" s="217" t="n"/>
      <c r="AF220" s="217" t="n"/>
      <c r="AG220" s="217" t="n"/>
      <c r="AH220" s="217" t="n"/>
      <c r="AI220" s="217" t="n"/>
      <c r="AJ220" s="220">
        <f>SUM(E220:AI220)</f>
        <v/>
      </c>
      <c r="AK220" s="153">
        <f>AJ220*D220</f>
        <v/>
      </c>
    </row>
    <row r="221">
      <c r="A221" s="376" t="inlineStr">
        <is>
          <t>4. ดูแลความสะอาดเรียบร้อยห้องอาหาร ห้องพักแพทย์ พยาบาล</t>
        </is>
      </c>
      <c r="B221" s="428" t="inlineStr">
        <is>
          <t>วัน</t>
        </is>
      </c>
      <c r="C221" s="428" t="inlineStr">
        <is>
          <t>เหมา</t>
        </is>
      </c>
      <c r="D221" s="428" t="n">
        <v>8.52</v>
      </c>
      <c r="E221" s="217" t="n"/>
      <c r="F221" s="217" t="n"/>
      <c r="G221" s="217" t="n"/>
      <c r="H221" s="217" t="n"/>
      <c r="I221" s="217" t="n"/>
      <c r="J221" s="217" t="n"/>
      <c r="K221" s="217" t="n"/>
      <c r="L221" s="217" t="n"/>
      <c r="M221" s="217" t="n"/>
      <c r="N221" s="217" t="n"/>
      <c r="O221" s="217" t="n"/>
      <c r="P221" s="212" t="n"/>
      <c r="Q221" s="217" t="n"/>
      <c r="R221" s="217" t="n"/>
      <c r="S221" s="217" t="n"/>
      <c r="T221" s="217" t="n"/>
      <c r="U221" s="217" t="n"/>
      <c r="V221" s="217" t="n"/>
      <c r="W221" s="217" t="n"/>
      <c r="X221" s="217" t="n"/>
      <c r="Y221" s="217" t="n"/>
      <c r="Z221" s="217" t="n"/>
      <c r="AA221" s="217" t="n"/>
      <c r="AB221" s="217" t="n"/>
      <c r="AC221" s="217" t="n"/>
      <c r="AD221" s="217" t="n"/>
      <c r="AE221" s="217" t="n"/>
      <c r="AF221" s="217" t="n"/>
      <c r="AG221" s="217" t="n"/>
      <c r="AH221" s="217" t="n"/>
      <c r="AI221" s="217" t="n"/>
      <c r="AJ221" s="220">
        <f>SUM(E221:AI221)</f>
        <v/>
      </c>
      <c r="AK221" s="153">
        <f>AJ221*D221</f>
        <v/>
      </c>
    </row>
    <row r="222">
      <c r="A222" s="376" t="inlineStr">
        <is>
          <t>5. ทำความสะอาดตู้เย็น</t>
        </is>
      </c>
      <c r="B222" s="428" t="inlineStr">
        <is>
          <t>ครั้ง</t>
        </is>
      </c>
      <c r="C222" s="428" t="inlineStr">
        <is>
          <t>เหมา</t>
        </is>
      </c>
      <c r="D222" s="428" t="n">
        <v>1.07</v>
      </c>
      <c r="E222" s="217" t="n"/>
      <c r="F222" s="217" t="n"/>
      <c r="G222" s="217" t="n"/>
      <c r="H222" s="217" t="n"/>
      <c r="I222" s="217" t="n"/>
      <c r="J222" s="217" t="n"/>
      <c r="K222" s="217" t="n"/>
      <c r="L222" s="217" t="n"/>
      <c r="M222" s="217" t="n"/>
      <c r="N222" s="217" t="n"/>
      <c r="O222" s="217" t="n"/>
      <c r="P222" s="217" t="n"/>
      <c r="Q222" s="212" t="n"/>
      <c r="R222" s="217" t="n"/>
      <c r="S222" s="217" t="n"/>
      <c r="T222" s="217" t="n"/>
      <c r="U222" s="217" t="n"/>
      <c r="V222" s="217" t="n"/>
      <c r="W222" s="217" t="n"/>
      <c r="X222" s="217" t="n"/>
      <c r="Y222" s="217" t="n"/>
      <c r="Z222" s="217" t="n"/>
      <c r="AA222" s="217" t="n"/>
      <c r="AB222" s="217" t="n"/>
      <c r="AC222" s="217" t="n"/>
      <c r="AD222" s="217" t="n"/>
      <c r="AE222" s="217" t="n"/>
      <c r="AF222" s="217" t="n"/>
      <c r="AG222" s="217" t="n"/>
      <c r="AH222" s="217" t="n"/>
      <c r="AI222" s="217" t="n"/>
      <c r="AJ222" s="220">
        <f>SUM(E222:AI222)</f>
        <v/>
      </c>
      <c r="AK222" s="153">
        <f>AJ222*D222</f>
        <v/>
      </c>
    </row>
    <row r="223">
      <c r="A223" s="375" t="inlineStr">
        <is>
          <t>6. การแยกขยะ recycle และนำส่งธนาคารขยะ</t>
        </is>
      </c>
      <c r="B223" s="217" t="inlineStr">
        <is>
          <t>วัน</t>
        </is>
      </c>
      <c r="C223" s="217" t="inlineStr">
        <is>
          <t>เหมา</t>
        </is>
      </c>
      <c r="D223" s="217" t="n">
        <v>4.26</v>
      </c>
      <c r="E223" s="217" t="n"/>
      <c r="F223" s="217" t="n"/>
      <c r="G223" s="217" t="n"/>
      <c r="H223" s="217" t="n"/>
      <c r="I223" s="217" t="n"/>
      <c r="J223" s="217" t="n"/>
      <c r="K223" s="217" t="n"/>
      <c r="L223" s="217" t="n"/>
      <c r="M223" s="217" t="n"/>
      <c r="N223" s="217" t="n"/>
      <c r="O223" s="217" t="n"/>
      <c r="P223" s="217" t="n"/>
      <c r="Q223" s="217" t="n"/>
      <c r="R223" s="217" t="n"/>
      <c r="S223" s="217" t="n"/>
      <c r="T223" s="217" t="n"/>
      <c r="U223" s="217" t="n"/>
      <c r="V223" s="217" t="n"/>
      <c r="W223" s="217" t="n"/>
      <c r="X223" s="217" t="n"/>
      <c r="Y223" s="217" t="n"/>
      <c r="Z223" s="217" t="n"/>
      <c r="AA223" s="217" t="n"/>
      <c r="AB223" s="217" t="n"/>
      <c r="AC223" s="217" t="n"/>
      <c r="AD223" s="217" t="n"/>
      <c r="AE223" s="217" t="n"/>
      <c r="AF223" s="217" t="n"/>
      <c r="AG223" s="217" t="n"/>
      <c r="AH223" s="217" t="n"/>
      <c r="AI223" s="217" t="n"/>
      <c r="AJ223" s="220">
        <f>SUM(E223:AI223)</f>
        <v/>
      </c>
      <c r="AK223" s="153">
        <f>AJ223*D223</f>
        <v/>
      </c>
    </row>
    <row r="224">
      <c r="A224" s="375" t="inlineStr">
        <is>
          <t>7. เดินงานอื่นๆ ที่ได้รับมอบหมาย</t>
        </is>
      </c>
      <c r="B224" s="217" t="inlineStr">
        <is>
          <t>วัน</t>
        </is>
      </c>
      <c r="C224" s="217" t="inlineStr">
        <is>
          <t>เหมา</t>
        </is>
      </c>
      <c r="D224" s="217" t="n">
        <v>4.26</v>
      </c>
      <c r="E224" s="217" t="n"/>
      <c r="F224" s="217" t="n"/>
      <c r="G224" s="217" t="n"/>
      <c r="H224" s="217" t="n"/>
      <c r="I224" s="217" t="n"/>
      <c r="J224" s="217" t="n"/>
      <c r="K224" s="217" t="n"/>
      <c r="L224" s="217" t="n"/>
      <c r="M224" s="217" t="n"/>
      <c r="N224" s="217" t="n"/>
      <c r="O224" s="217" t="n"/>
      <c r="P224" s="217" t="n"/>
      <c r="Q224" s="217" t="n"/>
      <c r="R224" s="217" t="n"/>
      <c r="S224" s="217" t="n"/>
      <c r="T224" s="217" t="n"/>
      <c r="U224" s="217" t="n"/>
      <c r="V224" s="217" t="n"/>
      <c r="W224" s="217" t="n"/>
      <c r="X224" s="217" t="n"/>
      <c r="Y224" s="217" t="n"/>
      <c r="Z224" s="217" t="n"/>
      <c r="AA224" s="217" t="n"/>
      <c r="AB224" s="217" t="n"/>
      <c r="AC224" s="217" t="n"/>
      <c r="AD224" s="217" t="n"/>
      <c r="AE224" s="217" t="n"/>
      <c r="AF224" s="217" t="n"/>
      <c r="AG224" s="217" t="n"/>
      <c r="AH224" s="217" t="n"/>
      <c r="AI224" s="217" t="n"/>
      <c r="AJ224" s="220">
        <f>SUM(E224:AI224)</f>
        <v/>
      </c>
      <c r="AK224" s="153">
        <f>AJ224*D224</f>
        <v/>
      </c>
    </row>
    <row r="225">
      <c r="A225" s="375" t="inlineStr">
        <is>
          <t>8. ทำลายเอกสาร</t>
        </is>
      </c>
      <c r="B225" s="217" t="inlineStr">
        <is>
          <t>วัน</t>
        </is>
      </c>
      <c r="C225" s="217" t="n">
        <v>30</v>
      </c>
      <c r="D225" s="377">
        <f>C225*0.071</f>
        <v/>
      </c>
      <c r="E225" s="217" t="n"/>
      <c r="F225" s="217" t="n"/>
      <c r="G225" s="217" t="n"/>
      <c r="H225" s="217" t="n"/>
      <c r="I225" s="217" t="n"/>
      <c r="J225" s="217" t="n"/>
      <c r="K225" s="217" t="n"/>
      <c r="L225" s="217" t="n"/>
      <c r="M225" s="217" t="n"/>
      <c r="N225" s="217" t="n"/>
      <c r="O225" s="217" t="n"/>
      <c r="P225" s="217" t="n"/>
      <c r="Q225" s="217" t="n"/>
      <c r="R225" s="217" t="n"/>
      <c r="S225" s="217" t="n"/>
      <c r="T225" s="217" t="n"/>
      <c r="U225" s="217" t="n"/>
      <c r="V225" s="217" t="n"/>
      <c r="W225" s="217" t="n"/>
      <c r="X225" s="217" t="n"/>
      <c r="Y225" s="217" t="n"/>
      <c r="Z225" s="217" t="n"/>
      <c r="AA225" s="217" t="n"/>
      <c r="AB225" s="217" t="n"/>
      <c r="AC225" s="217" t="n"/>
      <c r="AD225" s="217" t="n"/>
      <c r="AE225" s="217" t="n"/>
      <c r="AF225" s="217" t="n"/>
      <c r="AG225" s="217" t="n"/>
      <c r="AH225" s="217" t="n"/>
      <c r="AI225" s="217" t="n"/>
      <c r="AJ225" s="220">
        <f>SUM(E225:AI225)</f>
        <v/>
      </c>
      <c r="AK225" s="153">
        <f>AJ225*D225</f>
        <v/>
      </c>
    </row>
    <row r="226" ht="25" customHeight="1">
      <c r="A226" s="378" t="inlineStr">
        <is>
          <t>9. จัดเตรียมอุปกรณ์สถานที่สนับสนุนการสอบแพทย์ นิสิตแพทย์</t>
        </is>
      </c>
      <c r="B226" s="437" t="inlineStr">
        <is>
          <t xml:space="preserve">ครั้ง </t>
        </is>
      </c>
      <c r="C226" s="438" t="inlineStr">
        <is>
          <t>เหมา</t>
        </is>
      </c>
      <c r="D226" s="438" t="n">
        <v>1.07</v>
      </c>
      <c r="E226" s="382" t="n"/>
      <c r="F226" s="382" t="n"/>
      <c r="G226" s="382" t="n"/>
      <c r="H226" s="382" t="n"/>
      <c r="I226" s="382" t="n"/>
      <c r="J226" s="382" t="n"/>
      <c r="K226" s="382" t="n"/>
      <c r="L226" s="382" t="n"/>
      <c r="M226" s="382" t="n"/>
      <c r="N226" s="382" t="n"/>
      <c r="O226" s="382" t="n"/>
      <c r="P226" s="382" t="n"/>
      <c r="Q226" s="382" t="n"/>
      <c r="R226" s="382" t="n"/>
      <c r="S226" s="382" t="n"/>
      <c r="T226" s="382" t="n"/>
      <c r="U226" s="382" t="n"/>
      <c r="V226" s="382" t="n"/>
      <c r="W226" s="382" t="n"/>
      <c r="X226" s="382" t="n"/>
      <c r="Y226" s="382" t="n"/>
      <c r="Z226" s="382" t="n"/>
      <c r="AA226" s="382" t="n"/>
      <c r="AB226" s="382" t="n"/>
      <c r="AC226" s="382" t="n"/>
      <c r="AD226" s="382" t="n"/>
      <c r="AE226" s="382" t="n"/>
      <c r="AF226" s="382" t="n"/>
      <c r="AG226" s="382" t="n"/>
      <c r="AH226" s="382" t="n"/>
      <c r="AI226" s="382" t="n"/>
      <c r="AJ226" s="439">
        <f>SUM(E226:AI226)</f>
        <v/>
      </c>
      <c r="AK226" s="383">
        <f>AJ226*D226</f>
        <v/>
      </c>
    </row>
    <row r="227" ht="25" customHeight="1">
      <c r="A227" s="384" t="inlineStr">
        <is>
          <t>10. ตรวจสอบ/เบิก/แลก ยาน้ำ เวชภัณฑ์ ครุภัณฑ์ ประจำเดือน</t>
        </is>
      </c>
      <c r="B227" s="766" t="inlineStr">
        <is>
          <t>1ครั้ง/เดือน</t>
        </is>
      </c>
      <c r="C227" s="767" t="n"/>
      <c r="D227" s="440" t="n">
        <v>4.26</v>
      </c>
      <c r="E227" s="387" t="n"/>
      <c r="F227" s="387" t="n"/>
      <c r="G227" s="387" t="n"/>
      <c r="H227" s="387" t="n"/>
      <c r="I227" s="387" t="n"/>
      <c r="J227" s="387" t="n"/>
      <c r="K227" s="387" t="n"/>
      <c r="L227" s="387" t="n"/>
      <c r="M227" s="387" t="n"/>
      <c r="N227" s="387" t="n"/>
      <c r="O227" s="387" t="n"/>
      <c r="P227" s="387" t="n"/>
      <c r="Q227" s="387" t="n"/>
      <c r="R227" s="387" t="n"/>
      <c r="S227" s="387" t="n"/>
      <c r="T227" s="387" t="n"/>
      <c r="U227" s="387" t="n"/>
      <c r="V227" s="387" t="n"/>
      <c r="W227" s="387" t="n"/>
      <c r="X227" s="387" t="n"/>
      <c r="Y227" s="387" t="n"/>
      <c r="Z227" s="387" t="n"/>
      <c r="AA227" s="387" t="n"/>
      <c r="AB227" s="387" t="n"/>
      <c r="AC227" s="387" t="n"/>
      <c r="AD227" s="387" t="n"/>
      <c r="AE227" s="387" t="n"/>
      <c r="AF227" s="387" t="n"/>
      <c r="AG227" s="387" t="n"/>
      <c r="AH227" s="387" t="n"/>
      <c r="AI227" s="387" t="n"/>
      <c r="AJ227" s="439">
        <f>SUM(E227:AI227)</f>
        <v/>
      </c>
      <c r="AK227" s="383">
        <f>IF(AJ227,4.26,0)</f>
        <v/>
      </c>
    </row>
    <row r="228" ht="25" customHeight="1">
      <c r="A228" s="384" t="inlineStr">
        <is>
          <t>11. OK ของ / เวชภัณฑ์</t>
        </is>
      </c>
      <c r="B228" s="387" t="inlineStr">
        <is>
          <t>ครั้ง</t>
        </is>
      </c>
      <c r="C228" s="441" t="inlineStr">
        <is>
          <t>เหมา</t>
        </is>
      </c>
      <c r="D228" s="437" t="n">
        <v>1.14</v>
      </c>
      <c r="E228" s="387" t="n"/>
      <c r="F228" s="387" t="n"/>
      <c r="G228" s="387" t="n"/>
      <c r="H228" s="387" t="n"/>
      <c r="I228" s="387" t="n"/>
      <c r="J228" s="387" t="n"/>
      <c r="K228" s="387" t="n"/>
      <c r="L228" s="387" t="n"/>
      <c r="M228" s="387" t="n"/>
      <c r="N228" s="387" t="n"/>
      <c r="O228" s="387" t="n"/>
      <c r="P228" s="387" t="n"/>
      <c r="Q228" s="387" t="n"/>
      <c r="R228" s="387" t="n"/>
      <c r="S228" s="387" t="n"/>
      <c r="T228" s="387" t="n"/>
      <c r="U228" s="387" t="n"/>
      <c r="V228" s="387" t="n"/>
      <c r="W228" s="387" t="n"/>
      <c r="X228" s="387" t="n"/>
      <c r="Y228" s="387" t="n"/>
      <c r="Z228" s="387" t="n"/>
      <c r="AA228" s="387" t="n"/>
      <c r="AB228" s="387" t="n"/>
      <c r="AC228" s="387" t="n"/>
      <c r="AD228" s="387" t="n"/>
      <c r="AE228" s="387" t="n"/>
      <c r="AF228" s="387" t="n"/>
      <c r="AG228" s="387" t="n"/>
      <c r="AH228" s="387" t="n"/>
      <c r="AI228" s="387" t="n"/>
      <c r="AJ228" s="439">
        <f>SUM(E228:AI228)</f>
        <v/>
      </c>
      <c r="AK228" s="383">
        <f>AJ228*D228</f>
        <v/>
      </c>
    </row>
    <row r="229" ht="25" customHeight="1">
      <c r="A229" s="384" t="inlineStr">
        <is>
          <t>12. กิจกรรม 5 ส</t>
        </is>
      </c>
      <c r="B229" s="766" t="inlineStr">
        <is>
          <t>1ครั้ง/เดือน</t>
        </is>
      </c>
      <c r="C229" s="767" t="n"/>
      <c r="D229" s="442" t="n">
        <v>8.52</v>
      </c>
      <c r="E229" s="387" t="n"/>
      <c r="F229" s="387" t="n"/>
      <c r="G229" s="387" t="n"/>
      <c r="H229" s="387" t="n"/>
      <c r="I229" s="387" t="n"/>
      <c r="J229" s="387" t="n"/>
      <c r="K229" s="387" t="n"/>
      <c r="L229" s="387" t="n"/>
      <c r="M229" s="387" t="n"/>
      <c r="N229" s="387" t="n"/>
      <c r="O229" s="387" t="n"/>
      <c r="P229" s="387" t="n"/>
      <c r="Q229" s="387" t="n"/>
      <c r="R229" s="387" t="n"/>
      <c r="S229" s="387" t="n"/>
      <c r="T229" s="443" t="n"/>
      <c r="U229" s="387" t="n"/>
      <c r="V229" s="387" t="n"/>
      <c r="W229" s="387" t="n"/>
      <c r="X229" s="387" t="n"/>
      <c r="Y229" s="387" t="n"/>
      <c r="Z229" s="387" t="n"/>
      <c r="AA229" s="387" t="n"/>
      <c r="AB229" s="387" t="n"/>
      <c r="AC229" s="387" t="n"/>
      <c r="AD229" s="387" t="n"/>
      <c r="AE229" s="387" t="n"/>
      <c r="AF229" s="387" t="n"/>
      <c r="AG229" s="387" t="n"/>
      <c r="AH229" s="387" t="n"/>
      <c r="AI229" s="387" t="n"/>
      <c r="AJ229" s="439">
        <f>SUM(E229:AI229)</f>
        <v/>
      </c>
      <c r="AK229" s="383">
        <f>IF(AJ229,8.52,0)</f>
        <v/>
      </c>
    </row>
    <row r="230" ht="50" customHeight="1">
      <c r="A230" s="390" t="inlineStr">
        <is>
          <t>13. รับทราบการรับพัสดุครุภัณฑ์ทางการแพทย์/ครุภัณท์ประจำหอผู้ป่วย</t>
        </is>
      </c>
      <c r="B230" s="444" t="inlineStr">
        <is>
          <t>ครั้ง</t>
        </is>
      </c>
      <c r="C230" s="445" t="inlineStr">
        <is>
          <t>เหมา</t>
        </is>
      </c>
      <c r="D230" s="446" t="n">
        <v>0.71</v>
      </c>
      <c r="E230" s="395" t="n"/>
      <c r="F230" s="395" t="n"/>
      <c r="G230" s="395" t="n"/>
      <c r="H230" s="395" t="n"/>
      <c r="I230" s="395" t="n"/>
      <c r="J230" s="395" t="n"/>
      <c r="K230" s="395" t="n"/>
      <c r="L230" s="395" t="n"/>
      <c r="M230" s="395" t="n"/>
      <c r="N230" s="395" t="n"/>
      <c r="O230" s="395" t="n"/>
      <c r="P230" s="395" t="n"/>
      <c r="Q230" s="395" t="n"/>
      <c r="R230" s="395" t="n"/>
      <c r="S230" s="395" t="n"/>
      <c r="T230" s="395" t="n"/>
      <c r="U230" s="395" t="n"/>
      <c r="V230" s="395" t="n"/>
      <c r="W230" s="395" t="n"/>
      <c r="X230" s="395" t="n"/>
      <c r="Y230" s="395" t="n"/>
      <c r="Z230" s="395" t="n"/>
      <c r="AA230" s="395" t="n"/>
      <c r="AB230" s="395" t="n"/>
      <c r="AC230" s="395" t="n"/>
      <c r="AD230" s="395" t="n"/>
      <c r="AE230" s="395" t="n"/>
      <c r="AF230" s="395" t="n"/>
      <c r="AG230" s="395" t="n"/>
      <c r="AH230" s="395" t="n"/>
      <c r="AI230" s="395" t="n"/>
      <c r="AJ230" s="439">
        <f>SUM(E230:AI230)</f>
        <v/>
      </c>
      <c r="AK230" s="383">
        <f>AJ230*D230</f>
        <v/>
      </c>
    </row>
    <row r="231" ht="25" customHeight="1">
      <c r="A231" s="396" t="inlineStr">
        <is>
          <t>14. การลง Productivity / เวร</t>
        </is>
      </c>
      <c r="B231" s="387" t="inlineStr">
        <is>
          <t>เวร</t>
        </is>
      </c>
      <c r="C231" s="444" t="inlineStr">
        <is>
          <t>เหมา</t>
        </is>
      </c>
      <c r="D231" s="447" t="n">
        <v>0.71</v>
      </c>
      <c r="E231" s="387" t="n"/>
      <c r="F231" s="387" t="n"/>
      <c r="G231" s="387" t="n"/>
      <c r="H231" s="387" t="n"/>
      <c r="I231" s="387" t="n"/>
      <c r="J231" s="387" t="n"/>
      <c r="K231" s="387" t="n"/>
      <c r="L231" s="387" t="n"/>
      <c r="M231" s="387" t="n"/>
      <c r="N231" s="387" t="n"/>
      <c r="O231" s="387" t="n"/>
      <c r="P231" s="387" t="n"/>
      <c r="Q231" s="387" t="n"/>
      <c r="R231" s="387" t="n"/>
      <c r="S231" s="387" t="n"/>
      <c r="T231" s="387" t="n"/>
      <c r="U231" s="387" t="n"/>
      <c r="V231" s="387" t="n"/>
      <c r="W231" s="387" t="n"/>
      <c r="X231" s="387" t="n"/>
      <c r="Y231" s="387" t="n"/>
      <c r="Z231" s="387" t="n"/>
      <c r="AA231" s="387" t="n"/>
      <c r="AB231" s="387" t="n"/>
      <c r="AC231" s="387" t="n"/>
      <c r="AD231" s="387" t="n"/>
      <c r="AE231" s="387" t="n"/>
      <c r="AF231" s="387" t="n"/>
      <c r="AG231" s="387" t="n"/>
      <c r="AH231" s="387" t="n"/>
      <c r="AI231" s="387" t="n"/>
      <c r="AJ231" s="439">
        <f>SUM(E231:AI231)</f>
        <v/>
      </c>
      <c r="AK231" s="383">
        <f>AJ231*D231</f>
        <v/>
      </c>
    </row>
    <row r="232" ht="25" customHeight="1">
      <c r="A232" s="396" t="inlineStr">
        <is>
          <t>15. scan หน้าเข้าระบบ</t>
        </is>
      </c>
      <c r="B232" s="445" t="inlineStr">
        <is>
          <t>ครั้ง</t>
        </is>
      </c>
      <c r="C232" s="444" t="n">
        <v>5</v>
      </c>
      <c r="D232" s="448">
        <f>0.143*C232</f>
        <v/>
      </c>
      <c r="E232" s="387" t="n"/>
      <c r="F232" s="387" t="n"/>
      <c r="G232" s="387" t="n"/>
      <c r="H232" s="387" t="n"/>
      <c r="I232" s="387" t="n"/>
      <c r="J232" s="387" t="n"/>
      <c r="K232" s="387" t="n"/>
      <c r="L232" s="387" t="n"/>
      <c r="M232" s="387" t="n"/>
      <c r="N232" s="387" t="n"/>
      <c r="O232" s="387" t="n"/>
      <c r="P232" s="387" t="n"/>
      <c r="Q232" s="387" t="n"/>
      <c r="R232" s="387" t="n"/>
      <c r="S232" s="387" t="n"/>
      <c r="T232" s="387" t="n"/>
      <c r="U232" s="387" t="n"/>
      <c r="V232" s="387" t="n"/>
      <c r="W232" s="387" t="n"/>
      <c r="X232" s="387" t="n"/>
      <c r="Y232" s="387" t="n"/>
      <c r="Z232" s="387" t="n"/>
      <c r="AA232" s="387" t="n"/>
      <c r="AB232" s="387" t="n"/>
      <c r="AC232" s="387" t="n"/>
      <c r="AD232" s="387" t="n"/>
      <c r="AE232" s="387" t="n"/>
      <c r="AF232" s="387" t="n"/>
      <c r="AG232" s="387" t="n"/>
      <c r="AH232" s="387" t="n"/>
      <c r="AI232" s="387" t="n"/>
      <c r="AJ232" s="439">
        <f>SUM(E232:AI232)</f>
        <v/>
      </c>
      <c r="AK232" s="383">
        <f>AJ232*D232</f>
        <v/>
      </c>
    </row>
    <row r="233">
      <c r="A233" s="399" t="n"/>
      <c r="B233" s="703" t="n"/>
      <c r="C233" s="703" t="n"/>
      <c r="D233" s="703" t="n"/>
      <c r="E233" s="677" t="n"/>
      <c r="F233" s="677" t="n"/>
      <c r="G233" s="677" t="n"/>
      <c r="H233" s="677" t="n"/>
      <c r="I233" s="677" t="n"/>
      <c r="J233" s="677" t="n"/>
      <c r="K233" s="677" t="n"/>
      <c r="L233" s="677" t="n"/>
      <c r="M233" s="677" t="n"/>
      <c r="N233" s="677" t="n"/>
      <c r="O233" s="677" t="n"/>
      <c r="P233" s="677" t="n"/>
      <c r="Q233" s="677" t="n"/>
      <c r="R233" s="677" t="n"/>
      <c r="S233" s="677" t="n"/>
      <c r="T233" s="677" t="n"/>
      <c r="U233" s="677" t="n"/>
      <c r="V233" s="677" t="n"/>
      <c r="W233" s="677" t="n"/>
      <c r="X233" s="677" t="n"/>
      <c r="Y233" s="677" t="n"/>
      <c r="Z233" s="677" t="n"/>
      <c r="AA233" s="677" t="n"/>
      <c r="AB233" s="677" t="n"/>
      <c r="AC233" s="677" t="n"/>
      <c r="AD233" s="677" t="n"/>
      <c r="AE233" s="677" t="n"/>
      <c r="AF233" s="677" t="n"/>
      <c r="AG233" s="402" t="n"/>
      <c r="AH233" s="781" t="inlineStr">
        <is>
          <t>รวม</t>
        </is>
      </c>
      <c r="AI233" s="782" t="n"/>
      <c r="AJ233" s="783" t="n"/>
      <c r="AK233" s="622">
        <f>SUM(AK37:AK232)</f>
        <v/>
      </c>
    </row>
    <row r="234">
      <c r="A234" s="403" t="n"/>
      <c r="B234" s="404" t="n"/>
      <c r="C234" s="404" t="n"/>
      <c r="D234" s="404" t="n"/>
      <c r="E234" s="405" t="n"/>
      <c r="F234" s="405" t="n"/>
      <c r="G234" s="405" t="n"/>
      <c r="H234" s="405" t="n"/>
      <c r="I234" s="405" t="n"/>
      <c r="J234" s="405" t="n"/>
      <c r="K234" s="405" t="n"/>
      <c r="L234" s="405" t="n"/>
      <c r="M234" s="405" t="n"/>
      <c r="N234" s="405" t="n"/>
      <c r="O234" s="405" t="n"/>
      <c r="P234" s="405" t="n"/>
      <c r="Q234" s="405" t="n"/>
      <c r="R234" s="405" t="n"/>
      <c r="S234" s="405" t="n"/>
      <c r="T234" s="405" t="n"/>
      <c r="U234" s="405" t="n"/>
      <c r="V234" s="405" t="n"/>
      <c r="W234" s="405" t="n"/>
      <c r="X234" s="405" t="n"/>
      <c r="Y234" s="405" t="n"/>
      <c r="Z234" s="405" t="n"/>
      <c r="AA234" s="405" t="n"/>
      <c r="AB234" s="405" t="n"/>
      <c r="AC234" s="405" t="n"/>
      <c r="AD234" s="405" t="n"/>
      <c r="AE234" s="674" t="inlineStr">
        <is>
          <t>หักคะแนน</t>
        </is>
      </c>
      <c r="AJ234" s="784" t="n"/>
      <c r="AK234" s="407" t="n"/>
    </row>
    <row r="235">
      <c r="A235" s="403" t="n"/>
      <c r="B235" s="404" t="n"/>
      <c r="C235" s="404" t="n"/>
      <c r="D235" s="404" t="n"/>
      <c r="E235" s="405" t="n"/>
      <c r="F235" s="405" t="n"/>
      <c r="G235" s="405" t="n"/>
      <c r="H235" s="405" t="n"/>
      <c r="I235" s="405" t="n"/>
      <c r="J235" s="405" t="n"/>
      <c r="K235" s="405" t="n"/>
      <c r="L235" s="405" t="n"/>
      <c r="M235" s="405" t="n"/>
      <c r="N235" s="405" t="n"/>
      <c r="O235" s="405" t="n"/>
      <c r="P235" s="405" t="n"/>
      <c r="Q235" s="405" t="n"/>
      <c r="R235" s="405" t="n"/>
      <c r="S235" s="405" t="n"/>
      <c r="T235" s="405" t="n"/>
      <c r="U235" s="405" t="n"/>
      <c r="V235" s="405" t="n"/>
      <c r="W235" s="405" t="n"/>
      <c r="X235" s="405" t="n"/>
      <c r="Y235" s="405" t="n"/>
      <c r="Z235" s="405" t="n"/>
      <c r="AA235" s="405" t="n"/>
      <c r="AB235" s="405" t="n"/>
      <c r="AC235" s="405" t="n"/>
      <c r="AD235" s="405" t="n"/>
      <c r="AE235" s="405" t="n"/>
      <c r="AF235" s="676" t="inlineStr">
        <is>
          <t>คะแนนสุทธิ</t>
        </is>
      </c>
      <c r="AJ235" s="784" t="n"/>
      <c r="AK235" s="407">
        <f>AK233-AK234</f>
        <v/>
      </c>
    </row>
    <row r="236">
      <c r="A236" s="408" t="n"/>
      <c r="B236" s="404" t="n"/>
      <c r="C236" s="404" t="n"/>
      <c r="D236" s="404" t="n"/>
      <c r="E236" s="405" t="n"/>
      <c r="F236" s="405" t="n"/>
      <c r="G236" s="405" t="n"/>
      <c r="H236" s="405" t="n"/>
      <c r="I236" s="405" t="n"/>
      <c r="J236" s="405" t="n"/>
      <c r="K236" s="405" t="n"/>
      <c r="L236" s="405" t="n"/>
      <c r="M236" s="405" t="n"/>
      <c r="N236" s="405" t="n"/>
      <c r="O236" s="405" t="n"/>
      <c r="P236" s="405" t="n"/>
      <c r="Q236" s="405" t="n"/>
      <c r="R236" s="405" t="n"/>
      <c r="S236" s="405" t="n"/>
      <c r="T236" s="405" t="n"/>
      <c r="U236" s="405" t="n"/>
      <c r="V236" s="405" t="n"/>
      <c r="W236" s="405" t="n"/>
      <c r="X236" s="405" t="n"/>
      <c r="Y236" s="405" t="n"/>
      <c r="Z236" s="405" t="n"/>
      <c r="AA236" s="405" t="n"/>
      <c r="AB236" s="405" t="n"/>
      <c r="AC236" s="673" t="n"/>
      <c r="AD236" s="673" t="n"/>
      <c r="AE236" s="673" t="n"/>
      <c r="AF236" s="673" t="n"/>
      <c r="AG236" s="674" t="inlineStr">
        <is>
          <t>แต้มประกัน</t>
        </is>
      </c>
      <c r="AJ236" s="784" t="n"/>
      <c r="AK236" s="409" t="n">
        <v>1200</v>
      </c>
    </row>
    <row r="237">
      <c r="A237" s="695" t="inlineStr">
        <is>
          <t>ข้าพเจ้า .................................................................... ขอรับรองว่าได้ปฎิบัติงานจริง</t>
        </is>
      </c>
      <c r="B237" s="695" t="n"/>
      <c r="C237" s="695" t="n"/>
      <c r="D237" s="695" t="n"/>
      <c r="E237" s="669" t="n"/>
      <c r="F237" s="669" t="n"/>
      <c r="G237" s="669" t="n"/>
      <c r="H237" s="669" t="n"/>
      <c r="I237" s="669" t="n"/>
      <c r="J237" s="677" t="n"/>
      <c r="K237" s="677" t="inlineStr">
        <is>
          <t xml:space="preserve">ลงชื่อ...........................................................     </t>
        </is>
      </c>
      <c r="L237" s="772" t="n"/>
      <c r="M237" s="772" t="n"/>
      <c r="N237" s="772" t="n"/>
      <c r="O237" s="772" t="n"/>
      <c r="P237" s="772" t="n"/>
      <c r="Q237" s="772" t="n"/>
      <c r="R237" s="772" t="n"/>
      <c r="S237" s="772" t="n"/>
      <c r="T237" s="772" t="n"/>
      <c r="U237" s="772" t="n"/>
      <c r="V237" s="772" t="n"/>
      <c r="W237" s="669" t="n"/>
      <c r="X237" s="669" t="n"/>
      <c r="Y237" s="669" t="n"/>
      <c r="Z237" s="412" t="n"/>
      <c r="AA237" s="413" t="n"/>
      <c r="AB237" s="405" t="n"/>
      <c r="AC237" s="674" t="inlineStr">
        <is>
          <t xml:space="preserve">  ส่วนต่างแต้ม</t>
        </is>
      </c>
      <c r="AJ237" s="784" t="n"/>
      <c r="AK237" s="626">
        <f>AK235-AK236</f>
        <v/>
      </c>
    </row>
    <row r="238" ht="25" customHeight="1">
      <c r="A238" s="414" t="inlineStr">
        <is>
          <t>ลงชื่อ .......................................................................</t>
        </is>
      </c>
      <c r="B238" s="695" t="n"/>
      <c r="C238" s="695" t="n"/>
      <c r="D238" s="695" t="n"/>
      <c r="E238" s="669" t="n"/>
      <c r="F238" s="669" t="n"/>
      <c r="G238" s="669" t="n"/>
      <c r="H238" s="669" t="n"/>
      <c r="I238" s="669" t="n"/>
      <c r="J238" s="412" t="n"/>
      <c r="K238" s="669" t="n"/>
      <c r="L238" s="669" t="inlineStr">
        <is>
          <t>(.......................................................................)</t>
        </is>
      </c>
      <c r="M238" s="772" t="n"/>
      <c r="N238" s="772" t="n"/>
      <c r="O238" s="772" t="n"/>
      <c r="P238" s="772" t="n"/>
      <c r="Q238" s="772" t="n"/>
      <c r="R238" s="772" t="n"/>
      <c r="S238" s="772" t="n"/>
      <c r="T238" s="772" t="n"/>
      <c r="U238" s="772" t="n"/>
      <c r="V238" s="772" t="n"/>
      <c r="W238" s="772" t="n"/>
      <c r="X238" s="669" t="n"/>
      <c r="Y238" s="669" t="n"/>
      <c r="Z238" s="412" t="n"/>
      <c r="AA238" s="413" t="n"/>
      <c r="AB238" s="413" t="n"/>
      <c r="AC238" s="413" t="n"/>
      <c r="AD238" s="413" t="n"/>
      <c r="AE238" s="413" t="n"/>
      <c r="AF238" s="413" t="n"/>
      <c r="AG238" s="413" t="n"/>
      <c r="AH238" s="413" t="n"/>
      <c r="AI238" s="413" t="n"/>
      <c r="AJ238" s="413" t="n"/>
      <c r="AK238" s="415" t="n"/>
    </row>
    <row r="239" ht="25" customHeight="1">
      <c r="A239" s="414" t="inlineStr">
        <is>
          <t xml:space="preserve">          ( .......................................................... )</t>
        </is>
      </c>
      <c r="B239" s="695" t="n"/>
      <c r="C239" s="695" t="n"/>
      <c r="D239" s="695" t="n"/>
      <c r="E239" s="669" t="n"/>
      <c r="F239" s="669" t="n"/>
      <c r="G239" s="669" t="n"/>
      <c r="H239" s="669" t="n"/>
      <c r="I239" s="669" t="n"/>
      <c r="J239" s="412" t="n"/>
      <c r="K239" s="669" t="inlineStr">
        <is>
          <t xml:space="preserve">   หัวหน้าหน่วยงาน................................................</t>
        </is>
      </c>
      <c r="L239" s="669" t="n"/>
      <c r="M239" s="669" t="n"/>
      <c r="N239" s="669" t="n"/>
      <c r="O239" s="669" t="n"/>
      <c r="P239" s="669" t="n"/>
      <c r="Q239" s="669" t="n"/>
      <c r="R239" s="669" t="n"/>
      <c r="S239" s="669" t="n"/>
      <c r="T239" s="669" t="n"/>
      <c r="U239" s="669" t="n"/>
      <c r="V239" s="669" t="n"/>
      <c r="W239" s="669" t="n"/>
      <c r="X239" s="669" t="n"/>
      <c r="Y239" s="669" t="n"/>
      <c r="Z239" s="412" t="n"/>
      <c r="AA239" s="413" t="n"/>
      <c r="AB239" s="413" t="n"/>
      <c r="AC239" s="413" t="n"/>
      <c r="AD239" s="413" t="n"/>
      <c r="AE239" s="413" t="n"/>
      <c r="AF239" s="413" t="n"/>
      <c r="AG239" s="413" t="n"/>
      <c r="AH239" s="413" t="n"/>
      <c r="AI239" s="413" t="n"/>
      <c r="AJ239" s="413" t="n"/>
      <c r="AK239" s="415" t="n"/>
    </row>
    <row r="240" ht="25" customHeight="1">
      <c r="A240" s="414" t="inlineStr">
        <is>
          <t xml:space="preserve">              ตำแหน่ง สหวิชาชีพ</t>
        </is>
      </c>
      <c r="B240" s="695" t="n"/>
      <c r="C240" s="695" t="n"/>
      <c r="D240" s="695" t="n"/>
      <c r="E240" s="669" t="n"/>
      <c r="F240" s="669" t="n"/>
      <c r="G240" s="669" t="n"/>
      <c r="H240" s="669" t="n"/>
      <c r="I240" s="669" t="n"/>
      <c r="J240" s="412" t="n"/>
      <c r="K240" s="412" t="n"/>
      <c r="L240" s="412" t="n"/>
      <c r="M240" s="412" t="n"/>
      <c r="N240" s="412" t="n"/>
      <c r="O240" s="412" t="n"/>
      <c r="P240" s="412" t="n"/>
      <c r="Q240" s="412" t="n"/>
      <c r="R240" s="412" t="n"/>
      <c r="S240" s="412" t="n"/>
      <c r="T240" s="412" t="n"/>
      <c r="U240" s="412" t="n"/>
      <c r="V240" s="412" t="n"/>
      <c r="W240" s="412" t="n"/>
      <c r="X240" s="412" t="n"/>
      <c r="Y240" s="412" t="n"/>
      <c r="Z240" s="412" t="n"/>
      <c r="AA240" s="413" t="n"/>
      <c r="AB240" s="413" t="n"/>
      <c r="AC240" s="413" t="n"/>
      <c r="AD240" s="413" t="n"/>
      <c r="AE240" s="413" t="n"/>
      <c r="AF240" s="413" t="n"/>
      <c r="AG240" s="413" t="n"/>
      <c r="AH240" s="413" t="n"/>
      <c r="AI240" s="413" t="n"/>
      <c r="AJ240" s="413" t="n"/>
      <c r="AK240" s="415" t="n"/>
    </row>
    <row r="241">
      <c r="A241" s="416" t="n"/>
      <c r="B241" s="417" t="n"/>
      <c r="C241" s="417" t="n"/>
      <c r="D241" s="417" t="n"/>
      <c r="E241" s="228" t="n"/>
      <c r="F241" s="228" t="n"/>
      <c r="G241" s="228" t="n"/>
      <c r="H241" s="228" t="n"/>
      <c r="I241" s="228" t="n"/>
      <c r="J241" s="228" t="n"/>
      <c r="K241" s="228" t="n"/>
      <c r="L241" s="228" t="n"/>
      <c r="M241" s="228" t="n"/>
      <c r="N241" s="228" t="n"/>
      <c r="O241" s="228" t="n"/>
      <c r="P241" s="228" t="n"/>
      <c r="Q241" s="228" t="n"/>
      <c r="R241" s="228" t="n"/>
      <c r="S241" s="228" t="n"/>
      <c r="T241" s="228" t="n"/>
      <c r="U241" s="228" t="n"/>
      <c r="V241" s="228" t="n"/>
      <c r="W241" s="228" t="n"/>
      <c r="X241" s="228" t="n"/>
      <c r="Y241" s="228" t="n"/>
      <c r="Z241" s="228" t="n"/>
      <c r="AA241" s="228" t="n"/>
      <c r="AB241" s="228" t="n"/>
      <c r="AC241" s="228" t="n"/>
      <c r="AD241" s="228" t="n"/>
      <c r="AE241" s="228" t="n"/>
      <c r="AF241" s="228" t="n"/>
      <c r="AG241" s="228" t="n"/>
      <c r="AH241" s="228" t="n"/>
      <c r="AI241" s="228" t="n"/>
      <c r="AJ241" s="228" t="n"/>
      <c r="AK241" s="418" t="n"/>
    </row>
  </sheetData>
  <mergeCells count="19">
    <mergeCell ref="B218:C218"/>
    <mergeCell ref="B227:C227"/>
    <mergeCell ref="K237:V237"/>
    <mergeCell ref="AC237:AJ237"/>
    <mergeCell ref="AF235:AJ235"/>
    <mergeCell ref="B219:C219"/>
    <mergeCell ref="A3:AJ3"/>
    <mergeCell ref="B229:C229"/>
    <mergeCell ref="A2:AJ2"/>
    <mergeCell ref="B6:D6"/>
    <mergeCell ref="B127:AK127"/>
    <mergeCell ref="A4:A5"/>
    <mergeCell ref="AG236:AJ236"/>
    <mergeCell ref="AH233:AJ233"/>
    <mergeCell ref="L238:W238"/>
    <mergeCell ref="AE234:AJ234"/>
    <mergeCell ref="E4:AI4"/>
    <mergeCell ref="B7:AK7"/>
    <mergeCell ref="A1:AJ1"/>
  </mergeCells>
  <printOptions horizontalCentered="1"/>
  <pageMargins left="0.1181102362204725" right="0.1181102362204725" top="0.5511811023622047" bottom="0.3543307086614174" header="0.3149606299212598" footer="0.3149606299212598"/>
  <pageSetup orientation="landscape" paperSize="9" scale="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41"/>
  <sheetViews>
    <sheetView topLeftCell="A218" workbookViewId="0">
      <selection activeCell="K237" sqref="K237:V237"/>
    </sheetView>
  </sheetViews>
  <sheetFormatPr baseColWidth="10" defaultColWidth="8.6640625" defaultRowHeight="24"/>
  <cols>
    <col width="46.5" customWidth="1" style="334" min="1" max="1"/>
    <col width="7.1640625" customWidth="1" style="335" min="2" max="2"/>
    <col width="6.6640625" customWidth="1" style="335" min="3" max="3"/>
    <col width="6" customWidth="1" style="335" min="4" max="4"/>
    <col width="3.1640625" customWidth="1" style="284" min="5" max="35"/>
    <col width="4.6640625" customWidth="1" style="284" min="36" max="36"/>
    <col width="8.33203125" bestFit="1" customWidth="1" style="284" min="37" max="37"/>
    <col width="8.6640625" customWidth="1" style="284" min="38" max="16384"/>
  </cols>
  <sheetData>
    <row r="1">
      <c r="A1" s="686" t="inlineStr">
        <is>
          <r>
            <t xml:space="preserve">แบบจัดเก็บคะแนนภาระงาน ( Work point )  โรงพยาบาลสมเด็จพระปิ่นเกล้า </t>
          </r>
          <r>
            <rPr>
              <rFont val="TH SarabunPSK"/>
              <family val="2"/>
              <b val="1"/>
              <color rgb="FFFF0000"/>
              <sz val="16"/>
            </rPr>
            <t>(Update  ส.ค. 69)</t>
          </r>
        </is>
      </c>
      <c r="B1" s="772" t="n"/>
      <c r="C1" s="772" t="n"/>
      <c r="D1" s="772" t="n"/>
      <c r="E1" s="772" t="n"/>
      <c r="F1" s="772" t="n"/>
      <c r="G1" s="772" t="n"/>
      <c r="H1" s="772" t="n"/>
      <c r="I1" s="772" t="n"/>
      <c r="J1" s="772" t="n"/>
      <c r="K1" s="772" t="n"/>
      <c r="L1" s="772" t="n"/>
      <c r="M1" s="772" t="n"/>
      <c r="N1" s="772" t="n"/>
      <c r="O1" s="772" t="n"/>
      <c r="P1" s="772" t="n"/>
      <c r="Q1" s="772" t="n"/>
      <c r="R1" s="772" t="n"/>
      <c r="S1" s="772" t="n"/>
      <c r="T1" s="772" t="n"/>
      <c r="U1" s="772" t="n"/>
      <c r="V1" s="772" t="n"/>
      <c r="W1" s="772" t="n"/>
      <c r="X1" s="772" t="n"/>
      <c r="Y1" s="772" t="n"/>
      <c r="Z1" s="772" t="n"/>
      <c r="AA1" s="772" t="n"/>
      <c r="AB1" s="772" t="n"/>
      <c r="AC1" s="772" t="n"/>
      <c r="AD1" s="772" t="n"/>
      <c r="AE1" s="772" t="n"/>
      <c r="AF1" s="772" t="n"/>
      <c r="AG1" s="772" t="n"/>
      <c r="AH1" s="772" t="n"/>
      <c r="AI1" s="772" t="n"/>
      <c r="AJ1" s="772" t="n"/>
      <c r="AK1" s="283" t="n"/>
    </row>
    <row r="2">
      <c r="A2" s="686" t="inlineStr">
        <is>
          <r>
            <t>สำหรับผู้ปฏิบัติงาน …</t>
          </r>
          <r>
            <rPr>
              <rFont val="TH SarabunPSK"/>
              <family val="2"/>
              <b val="1"/>
              <color rgb="FFFF0000"/>
              <sz val="16"/>
            </rPr>
            <t>ประทวน TN นาวิกเวชกิจ</t>
          </r>
          <r>
            <rPr>
              <rFont val="TH SarabunPSK"/>
              <family val="2"/>
              <b val="1"/>
              <color indexed="8"/>
              <sz val="16"/>
            </rPr>
            <t xml:space="preserve">...  ในหน่วยงาน </t>
          </r>
          <r>
            <rPr>
              <rFont val="TH SarabunPSK"/>
              <family val="2"/>
              <b val="1"/>
              <color rgb="FFFF0000"/>
              <sz val="16"/>
            </rPr>
            <t>...............................................</t>
          </r>
          <r>
            <rPr>
              <rFont val="TH SarabunPSK"/>
              <family val="2"/>
              <b val="1"/>
              <sz val="16"/>
            </rPr>
            <t>กลุ่มงาน</t>
          </r>
          <r>
            <rPr>
              <rFont val="TH SarabunPSK"/>
              <family val="2"/>
              <b val="1"/>
              <color rgb="FFFF0000"/>
              <sz val="16"/>
            </rPr>
            <t>..................................................</t>
          </r>
          <r>
            <rPr>
              <rFont val="TH SarabunPSK"/>
              <family val="2"/>
              <b val="1"/>
              <color indexed="8"/>
              <sz val="16"/>
            </rPr>
            <t xml:space="preserve">   แต้มประกัน 960 แต้ม  คิดเป็น 0.114 แต้ม/นาที</t>
          </r>
        </is>
      </c>
      <c r="B2" s="772" t="n"/>
      <c r="C2" s="772" t="n"/>
      <c r="D2" s="772" t="n"/>
      <c r="E2" s="772" t="n"/>
      <c r="F2" s="772" t="n"/>
      <c r="G2" s="772" t="n"/>
      <c r="H2" s="772" t="n"/>
      <c r="I2" s="772" t="n"/>
      <c r="J2" s="772" t="n"/>
      <c r="K2" s="772" t="n"/>
      <c r="L2" s="772" t="n"/>
      <c r="M2" s="772" t="n"/>
      <c r="N2" s="772" t="n"/>
      <c r="O2" s="772" t="n"/>
      <c r="P2" s="772" t="n"/>
      <c r="Q2" s="772" t="n"/>
      <c r="R2" s="772" t="n"/>
      <c r="S2" s="772" t="n"/>
      <c r="T2" s="772" t="n"/>
      <c r="U2" s="772" t="n"/>
      <c r="V2" s="772" t="n"/>
      <c r="W2" s="772" t="n"/>
      <c r="X2" s="772" t="n"/>
      <c r="Y2" s="772" t="n"/>
      <c r="Z2" s="772" t="n"/>
      <c r="AA2" s="772" t="n"/>
      <c r="AB2" s="772" t="n"/>
      <c r="AC2" s="772" t="n"/>
      <c r="AD2" s="772" t="n"/>
      <c r="AE2" s="772" t="n"/>
      <c r="AF2" s="772" t="n"/>
      <c r="AG2" s="772" t="n"/>
      <c r="AH2" s="772" t="n"/>
      <c r="AI2" s="772" t="n"/>
      <c r="AJ2" s="772" t="n"/>
      <c r="AK2" s="283" t="n"/>
    </row>
    <row r="3">
      <c r="A3" s="687" t="inlineStr">
        <is>
          <r>
            <t xml:space="preserve">ชื่อผู้ปฏิบัติงาน </t>
          </r>
          <r>
            <rPr>
              <rFont val="TH SarabunPSK"/>
              <family val="2"/>
              <b val="1"/>
              <color rgb="FFFF0000"/>
              <sz val="16"/>
            </rPr>
            <t>...............................................................</t>
          </r>
          <r>
            <rPr>
              <rFont val="TH SarabunPSK"/>
              <family val="2"/>
              <b val="1"/>
              <color indexed="8"/>
              <sz val="16"/>
            </rPr>
            <t xml:space="preserve"> ตำแหน่ง </t>
          </r>
          <r>
            <rPr>
              <rFont val="TH SarabunPSK"/>
              <family val="2"/>
              <b val="1"/>
              <color rgb="FFFF0000"/>
              <sz val="16"/>
            </rPr>
            <t>...............................</t>
          </r>
          <r>
            <rPr>
              <rFont val="TH SarabunPSK"/>
              <family val="2"/>
              <b val="1"/>
              <color indexed="8"/>
              <sz val="16"/>
            </rPr>
            <t xml:space="preserve">  เดือน </t>
          </r>
          <r>
            <rPr>
              <rFont val="TH SarabunPSK"/>
              <family val="2"/>
              <b val="1"/>
              <color rgb="FFFF0000"/>
              <sz val="16"/>
            </rPr>
            <t>…...................................</t>
          </r>
          <r>
            <rPr>
              <rFont val="TH SarabunPSK"/>
              <family val="2"/>
              <b val="1"/>
              <color indexed="8"/>
              <sz val="16"/>
            </rPr>
            <t xml:space="preserve">  พ.ศ ...........</t>
          </r>
        </is>
      </c>
      <c r="B3" s="773" t="n"/>
      <c r="C3" s="773" t="n"/>
      <c r="D3" s="773" t="n"/>
      <c r="E3" s="773" t="n"/>
      <c r="F3" s="773" t="n"/>
      <c r="G3" s="773" t="n"/>
      <c r="H3" s="773" t="n"/>
      <c r="I3" s="773" t="n"/>
      <c r="J3" s="773" t="n"/>
      <c r="K3" s="773" t="n"/>
      <c r="L3" s="773" t="n"/>
      <c r="M3" s="773" t="n"/>
      <c r="N3" s="773" t="n"/>
      <c r="O3" s="773" t="n"/>
      <c r="P3" s="773" t="n"/>
      <c r="Q3" s="773" t="n"/>
      <c r="R3" s="773" t="n"/>
      <c r="S3" s="773" t="n"/>
      <c r="T3" s="773" t="n"/>
      <c r="U3" s="773" t="n"/>
      <c r="V3" s="773" t="n"/>
      <c r="W3" s="773" t="n"/>
      <c r="X3" s="773" t="n"/>
      <c r="Y3" s="773" t="n"/>
      <c r="Z3" s="773" t="n"/>
      <c r="AA3" s="773" t="n"/>
      <c r="AB3" s="773" t="n"/>
      <c r="AC3" s="773" t="n"/>
      <c r="AD3" s="773" t="n"/>
      <c r="AE3" s="773" t="n"/>
      <c r="AF3" s="773" t="n"/>
      <c r="AG3" s="773" t="n"/>
      <c r="AH3" s="773" t="n"/>
      <c r="AI3" s="773" t="n"/>
      <c r="AJ3" s="773" t="n"/>
      <c r="AK3" s="283" t="n"/>
    </row>
    <row r="4">
      <c r="A4" s="289" t="inlineStr">
        <is>
          <t>ภาระงาน</t>
        </is>
      </c>
      <c r="B4" s="285" t="inlineStr">
        <is>
          <t>หน่วย</t>
        </is>
      </c>
      <c r="C4" s="285" t="inlineStr">
        <is>
          <t>เวลา</t>
        </is>
      </c>
      <c r="D4" s="285" t="inlineStr">
        <is>
          <t>Point</t>
        </is>
      </c>
      <c r="E4" s="690" t="inlineStr">
        <is>
          <t>ปริมาณงาน (รายวัน/รายสัปดาห์/รายเดือน)</t>
        </is>
      </c>
      <c r="F4" s="774" t="n"/>
      <c r="G4" s="774" t="n"/>
      <c r="H4" s="774" t="n"/>
      <c r="I4" s="774" t="n"/>
      <c r="J4" s="774" t="n"/>
      <c r="K4" s="774" t="n"/>
      <c r="L4" s="774" t="n"/>
      <c r="M4" s="774" t="n"/>
      <c r="N4" s="774" t="n"/>
      <c r="O4" s="774" t="n"/>
      <c r="P4" s="774" t="n"/>
      <c r="Q4" s="774" t="n"/>
      <c r="R4" s="774" t="n"/>
      <c r="S4" s="774" t="n"/>
      <c r="T4" s="774" t="n"/>
      <c r="U4" s="774" t="n"/>
      <c r="V4" s="774" t="n"/>
      <c r="W4" s="774" t="n"/>
      <c r="X4" s="774" t="n"/>
      <c r="Y4" s="774" t="n"/>
      <c r="Z4" s="774" t="n"/>
      <c r="AA4" s="774" t="n"/>
      <c r="AB4" s="774" t="n"/>
      <c r="AC4" s="774" t="n"/>
      <c r="AD4" s="774" t="n"/>
      <c r="AE4" s="774" t="n"/>
      <c r="AF4" s="774" t="n"/>
      <c r="AG4" s="774" t="n"/>
      <c r="AH4" s="774" t="n"/>
      <c r="AI4" s="774" t="n"/>
      <c r="AJ4" s="67" t="n"/>
      <c r="AK4" s="29" t="n"/>
    </row>
    <row r="5">
      <c r="A5" s="775" t="n"/>
      <c r="B5" s="286" t="inlineStr">
        <is>
          <t>นับ</t>
        </is>
      </c>
      <c r="C5" s="286" t="inlineStr">
        <is>
          <t>(นาที)</t>
        </is>
      </c>
      <c r="D5" s="286" t="inlineStr">
        <is>
          <t>(แต้ม)</t>
        </is>
      </c>
      <c r="E5" s="287" t="n">
        <v>1</v>
      </c>
      <c r="F5" s="287" t="n">
        <v>2</v>
      </c>
      <c r="G5" s="287" t="n">
        <v>3</v>
      </c>
      <c r="H5" s="287" t="n">
        <v>4</v>
      </c>
      <c r="I5" s="287" t="n">
        <v>5</v>
      </c>
      <c r="J5" s="287" t="n">
        <v>6</v>
      </c>
      <c r="K5" s="287" t="n">
        <v>7</v>
      </c>
      <c r="L5" s="287" t="n">
        <v>8</v>
      </c>
      <c r="M5" s="287" t="n">
        <v>9</v>
      </c>
      <c r="N5" s="287" t="n">
        <v>10</v>
      </c>
      <c r="O5" s="287" t="n">
        <v>11</v>
      </c>
      <c r="P5" s="287" t="n">
        <v>12</v>
      </c>
      <c r="Q5" s="287" t="n">
        <v>13</v>
      </c>
      <c r="R5" s="287" t="n">
        <v>14</v>
      </c>
      <c r="S5" s="287" t="n">
        <v>15</v>
      </c>
      <c r="T5" s="287" t="n">
        <v>16</v>
      </c>
      <c r="U5" s="287" t="n">
        <v>17</v>
      </c>
      <c r="V5" s="287" t="n">
        <v>18</v>
      </c>
      <c r="W5" s="287" t="n">
        <v>19</v>
      </c>
      <c r="X5" s="287" t="n">
        <v>20</v>
      </c>
      <c r="Y5" s="287" t="n">
        <v>21</v>
      </c>
      <c r="Z5" s="287" t="n">
        <v>22</v>
      </c>
      <c r="AA5" s="287" t="n">
        <v>23</v>
      </c>
      <c r="AB5" s="287" t="n">
        <v>24</v>
      </c>
      <c r="AC5" s="287" t="n">
        <v>25</v>
      </c>
      <c r="AD5" s="287" t="n">
        <v>26</v>
      </c>
      <c r="AE5" s="287" t="n">
        <v>27</v>
      </c>
      <c r="AF5" s="287" t="n">
        <v>28</v>
      </c>
      <c r="AG5" s="287" t="n">
        <v>29</v>
      </c>
      <c r="AH5" s="287" t="n">
        <v>30</v>
      </c>
      <c r="AI5" s="287" t="n">
        <v>31</v>
      </c>
      <c r="AJ5" s="288" t="inlineStr">
        <is>
          <t>รวม</t>
        </is>
      </c>
      <c r="AK5" s="288" t="inlineStr">
        <is>
          <t>รวมแต้ม</t>
        </is>
      </c>
    </row>
    <row r="6" ht="25" customHeight="1">
      <c r="A6" s="289" t="inlineStr">
        <is>
          <t>เวร</t>
        </is>
      </c>
      <c r="B6" s="29" t="n"/>
      <c r="C6" s="774" t="n"/>
      <c r="D6" s="76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7" t="n"/>
      <c r="P6" s="287" t="n"/>
      <c r="Q6" s="287" t="n"/>
      <c r="R6" s="287" t="n"/>
      <c r="S6" s="287" t="n"/>
      <c r="T6" s="287" t="n"/>
      <c r="U6" s="287" t="n"/>
      <c r="V6" s="287" t="n"/>
      <c r="W6" s="287" t="n"/>
      <c r="X6" s="287" t="n"/>
      <c r="Y6" s="287" t="n"/>
      <c r="Z6" s="287" t="n"/>
      <c r="AA6" s="287" t="n"/>
      <c r="AB6" s="287" t="n"/>
      <c r="AC6" s="287" t="n"/>
      <c r="AD6" s="287" t="n"/>
      <c r="AE6" s="287" t="n"/>
      <c r="AF6" s="287" t="n"/>
      <c r="AG6" s="287" t="n"/>
      <c r="AH6" s="287" t="n"/>
      <c r="AI6" s="287" t="n"/>
      <c r="AJ6" s="291" t="n"/>
      <c r="AK6" s="292" t="n"/>
    </row>
    <row r="7" ht="25" customHeight="1">
      <c r="A7" s="293" t="inlineStr">
        <is>
          <t>บริหาร</t>
        </is>
      </c>
      <c r="B7" s="776" t="n"/>
      <c r="C7" s="777" t="n"/>
      <c r="D7" s="777" t="n"/>
      <c r="E7" s="777" t="n"/>
      <c r="F7" s="777" t="n"/>
      <c r="G7" s="777" t="n"/>
      <c r="H7" s="777" t="n"/>
      <c r="I7" s="777" t="n"/>
      <c r="J7" s="777" t="n"/>
      <c r="K7" s="777" t="n"/>
      <c r="L7" s="777" t="n"/>
      <c r="M7" s="777" t="n"/>
      <c r="N7" s="777" t="n"/>
      <c r="O7" s="777" t="n"/>
      <c r="P7" s="777" t="n"/>
      <c r="Q7" s="777" t="n"/>
      <c r="R7" s="777" t="n"/>
      <c r="S7" s="777" t="n"/>
      <c r="T7" s="777" t="n"/>
      <c r="U7" s="777" t="n"/>
      <c r="V7" s="777" t="n"/>
      <c r="W7" s="777" t="n"/>
      <c r="X7" s="777" t="n"/>
      <c r="Y7" s="777" t="n"/>
      <c r="Z7" s="777" t="n"/>
      <c r="AA7" s="777" t="n"/>
      <c r="AB7" s="777" t="n"/>
      <c r="AC7" s="777" t="n"/>
      <c r="AD7" s="777" t="n"/>
      <c r="AE7" s="777" t="n"/>
      <c r="AF7" s="777" t="n"/>
      <c r="AG7" s="777" t="n"/>
      <c r="AH7" s="777" t="n"/>
      <c r="AI7" s="777" t="n"/>
      <c r="AJ7" s="777" t="n"/>
      <c r="AK7" s="778" t="n"/>
    </row>
    <row r="8" ht="25" customHeight="1">
      <c r="A8" s="449" t="inlineStr">
        <is>
          <t>การประชุม</t>
        </is>
      </c>
      <c r="B8" s="295" t="n"/>
      <c r="C8" s="296" t="n"/>
      <c r="D8" s="296" t="n"/>
      <c r="E8" s="693" t="n"/>
      <c r="F8" s="693" t="n"/>
      <c r="G8" s="693" t="n"/>
      <c r="H8" s="693" t="n"/>
      <c r="I8" s="693" t="n"/>
      <c r="J8" s="693" t="n"/>
      <c r="K8" s="693" t="n"/>
      <c r="L8" s="693" t="n"/>
      <c r="M8" s="693" t="n"/>
      <c r="N8" s="693" t="n"/>
      <c r="O8" s="693" t="n"/>
      <c r="P8" s="693" t="n"/>
      <c r="Q8" s="693" t="n"/>
      <c r="R8" s="693" t="n"/>
      <c r="S8" s="693" t="n"/>
      <c r="T8" s="693" t="n"/>
      <c r="U8" s="693" t="n"/>
      <c r="V8" s="693" t="n"/>
      <c r="W8" s="693" t="n"/>
      <c r="X8" s="693" t="n"/>
      <c r="Y8" s="693" t="n"/>
      <c r="Z8" s="693" t="n"/>
      <c r="AA8" s="693" t="n"/>
      <c r="AB8" s="693" t="n"/>
      <c r="AC8" s="693" t="n"/>
      <c r="AD8" s="693" t="n"/>
      <c r="AE8" s="693" t="n"/>
      <c r="AF8" s="693" t="n"/>
      <c r="AG8" s="693" t="n"/>
      <c r="AH8" s="693" t="n"/>
      <c r="AI8" s="693" t="n"/>
      <c r="AJ8" s="45" t="n"/>
      <c r="AK8" s="46" t="n"/>
    </row>
    <row r="9" ht="25" customHeight="1">
      <c r="A9" s="11" t="inlineStr">
        <is>
          <t>1. ประชุมหน่วยขึ้นตรงโรงพยาบาลประจำเดือน</t>
        </is>
      </c>
      <c r="B9" s="297" t="inlineStr">
        <is>
          <t>ครั้ง</t>
        </is>
      </c>
      <c r="C9" s="108" t="inlineStr">
        <is>
          <t>เหมา</t>
        </is>
      </c>
      <c r="D9" s="298" t="n">
        <v>30</v>
      </c>
      <c r="E9" s="49" t="n"/>
      <c r="F9" s="49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  <c r="AA9" s="49" t="n"/>
      <c r="AB9" s="49" t="n"/>
      <c r="AC9" s="49" t="n"/>
      <c r="AD9" s="49" t="n"/>
      <c r="AE9" s="49" t="n"/>
      <c r="AF9" s="49" t="n"/>
      <c r="AG9" s="49" t="n"/>
      <c r="AH9" s="49" t="n"/>
      <c r="AI9" s="49" t="n"/>
      <c r="AJ9" s="50">
        <f>SUM(E9:AI9)</f>
        <v/>
      </c>
      <c r="AK9" s="50">
        <f>AJ9*D9</f>
        <v/>
      </c>
    </row>
    <row r="10" ht="25" customHeight="1">
      <c r="A10" s="11" t="inlineStr">
        <is>
          <t>2. ประชุมระดับโรงพยาบาล</t>
        </is>
      </c>
      <c r="B10" s="12" t="inlineStr">
        <is>
          <t>ครั้ง</t>
        </is>
      </c>
      <c r="C10" s="13" t="inlineStr">
        <is>
          <t>เหมา</t>
        </is>
      </c>
      <c r="D10" s="299" t="n">
        <v>30</v>
      </c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  <c r="AA10" s="29" t="n"/>
      <c r="AB10" s="29" t="n"/>
      <c r="AC10" s="29" t="n"/>
      <c r="AD10" s="29" t="n"/>
      <c r="AE10" s="29" t="n"/>
      <c r="AF10" s="29" t="n"/>
      <c r="AG10" s="29" t="n"/>
      <c r="AH10" s="29" t="n"/>
      <c r="AI10" s="29" t="n"/>
      <c r="AJ10" s="5">
        <f>SUM(E10:AI10)</f>
        <v/>
      </c>
      <c r="AK10" s="5">
        <f>AJ10*D10</f>
        <v/>
      </c>
    </row>
    <row r="11" ht="25" customHeight="1">
      <c r="A11" s="16" t="inlineStr">
        <is>
          <t>3. ประชุมระหว่างหน่วยงาน</t>
        </is>
      </c>
      <c r="B11" s="12" t="inlineStr">
        <is>
          <t>ครั้ง</t>
        </is>
      </c>
      <c r="C11" s="13" t="inlineStr">
        <is>
          <t>เหมา</t>
        </is>
      </c>
      <c r="D11" s="299" t="n">
        <v>30</v>
      </c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29" t="n"/>
      <c r="AH11" s="29" t="n"/>
      <c r="AI11" s="29" t="n"/>
      <c r="AJ11" s="5">
        <f>SUM(E11:AI11)</f>
        <v/>
      </c>
      <c r="AK11" s="5">
        <f>AJ11*D11</f>
        <v/>
      </c>
    </row>
    <row r="12" ht="25" customHeight="1">
      <c r="A12" s="16" t="inlineStr">
        <is>
          <t>4. ประชุมภายในหน่วยงาน/กลุ่มงาน</t>
        </is>
      </c>
      <c r="B12" s="12" t="inlineStr">
        <is>
          <t>ครั้ง</t>
        </is>
      </c>
      <c r="C12" s="13" t="inlineStr">
        <is>
          <t>เหมา</t>
        </is>
      </c>
      <c r="D12" s="299" t="n">
        <v>30</v>
      </c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29" t="n"/>
      <c r="AH12" s="29" t="n"/>
      <c r="AI12" s="29" t="n"/>
      <c r="AJ12" s="5">
        <f>SUM(E12:AI12)</f>
        <v/>
      </c>
      <c r="AK12" s="5">
        <f>AJ12*D12</f>
        <v/>
      </c>
    </row>
    <row r="13" ht="25" customHeight="1">
      <c r="A13" s="11" t="inlineStr">
        <is>
          <t>5. ประชุมระดับแผนก/หอผู้ป่วย/ห้องตรวจโรค</t>
        </is>
      </c>
      <c r="B13" s="12" t="inlineStr">
        <is>
          <t>ครั้ง</t>
        </is>
      </c>
      <c r="C13" s="13" t="inlineStr">
        <is>
          <t>เหมา</t>
        </is>
      </c>
      <c r="D13" s="299" t="n">
        <v>30</v>
      </c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  <c r="AA13" s="29" t="n"/>
      <c r="AB13" s="29" t="n"/>
      <c r="AC13" s="29" t="n"/>
      <c r="AD13" s="29" t="n"/>
      <c r="AE13" s="29" t="n"/>
      <c r="AF13" s="29" t="n"/>
      <c r="AG13" s="29" t="n"/>
      <c r="AH13" s="29" t="n"/>
      <c r="AI13" s="29" t="n"/>
      <c r="AJ13" s="5">
        <f>SUM(E13:AI13)</f>
        <v/>
      </c>
      <c r="AK13" s="5">
        <f>AJ13*D13</f>
        <v/>
      </c>
    </row>
    <row r="14" ht="25" customHeight="1">
      <c r="A14" s="11" t="inlineStr">
        <is>
          <t>6. ประชุมแก้ไขปัญหา/ข้อขัดข้องภายในแผนก</t>
        </is>
      </c>
      <c r="B14" s="12" t="inlineStr">
        <is>
          <t>ครั้ง</t>
        </is>
      </c>
      <c r="C14" s="13" t="inlineStr">
        <is>
          <t>เหมา</t>
        </is>
      </c>
      <c r="D14" s="299" t="n">
        <v>8.58</v>
      </c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5">
        <f>SUM(E14:AI14)</f>
        <v/>
      </c>
      <c r="AK14" s="5">
        <f>AJ14*D14</f>
        <v/>
      </c>
    </row>
    <row r="15" ht="50" customHeight="1">
      <c r="A15" s="11" t="inlineStr">
        <is>
          <t>7. ประชุมวิชาการ/กิจกรรมวิชาการระดับโรงพยาบาล
(ผู้เข้าร่วมประชุมมาจากบุคลากรหลายหน่วยในโรงพยาบาล)</t>
        </is>
      </c>
      <c r="B15" s="12" t="inlineStr">
        <is>
          <t>ครั้ง</t>
        </is>
      </c>
      <c r="C15" s="13" t="inlineStr">
        <is>
          <t>เหมา</t>
        </is>
      </c>
      <c r="D15" s="299" t="n">
        <v>30</v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29" t="n"/>
      <c r="AC15" s="29" t="n"/>
      <c r="AD15" s="29" t="n"/>
      <c r="AE15" s="29" t="n"/>
      <c r="AF15" s="29" t="n"/>
      <c r="AG15" s="29" t="n"/>
      <c r="AH15" s="29" t="n"/>
      <c r="AI15" s="29" t="n"/>
      <c r="AJ15" s="5">
        <f>SUM(E15:AI15)</f>
        <v/>
      </c>
      <c r="AK15" s="5">
        <f>AJ15*D15</f>
        <v/>
      </c>
    </row>
    <row r="16" ht="25" customHeight="1">
      <c r="A16" s="16" t="inlineStr">
        <is>
          <t>8. ประชุมวิชาการระหว่างหน่วยงาน/ภายในหน่วยงาน</t>
        </is>
      </c>
      <c r="B16" s="12" t="inlineStr">
        <is>
          <t>ครั้ง</t>
        </is>
      </c>
      <c r="C16" s="13" t="inlineStr">
        <is>
          <t>เหมา</t>
        </is>
      </c>
      <c r="D16" s="299" t="n">
        <v>30</v>
      </c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  <c r="AA16" s="29" t="n"/>
      <c r="AB16" s="29" t="n"/>
      <c r="AC16" s="29" t="n"/>
      <c r="AD16" s="29" t="n"/>
      <c r="AE16" s="29" t="n"/>
      <c r="AF16" s="29" t="n"/>
      <c r="AG16" s="29" t="n"/>
      <c r="AH16" s="29" t="n"/>
      <c r="AI16" s="29" t="n"/>
      <c r="AJ16" s="5">
        <f>SUM(E16:AI16)</f>
        <v/>
      </c>
      <c r="AK16" s="5">
        <f>AJ16*D16</f>
        <v/>
      </c>
    </row>
    <row r="17" ht="25" customHeight="1">
      <c r="A17" s="300" t="inlineStr">
        <is>
          <t>9. ประชุมภายใน รพ. (ประธาน, เลขาฯ)</t>
        </is>
      </c>
      <c r="B17" s="32" t="inlineStr">
        <is>
          <t xml:space="preserve">ครั้ง </t>
        </is>
      </c>
      <c r="C17" s="199" t="inlineStr">
        <is>
          <t>เหมา</t>
        </is>
      </c>
      <c r="D17" s="301" t="n">
        <v>45</v>
      </c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2" t="n"/>
      <c r="AG17" s="32" t="n"/>
      <c r="AH17" s="32" t="n"/>
      <c r="AI17" s="32" t="n"/>
      <c r="AJ17" s="33">
        <f>SUM(E17:AI17)</f>
        <v/>
      </c>
      <c r="AK17" s="33">
        <f>AJ17*D17</f>
        <v/>
      </c>
    </row>
    <row r="18" ht="25" customFormat="1" customHeight="1" s="1">
      <c r="A18" s="450" t="inlineStr">
        <is>
          <t>การจัดทำรายงานการประชุม</t>
        </is>
      </c>
      <c r="B18" s="724" t="n"/>
      <c r="C18" s="22" t="n"/>
      <c r="D18" s="22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4" t="n"/>
      <c r="AK18" s="25" t="n"/>
    </row>
    <row r="19" ht="25" customFormat="1" customHeight="1" s="1">
      <c r="A19" s="26" t="inlineStr">
        <is>
          <t>1. การประชุมระดับ รพ.ฯ</t>
        </is>
      </c>
      <c r="B19" s="27" t="inlineStr">
        <is>
          <t>วัน</t>
        </is>
      </c>
      <c r="C19" s="28" t="inlineStr">
        <is>
          <t>เหมา</t>
        </is>
      </c>
      <c r="D19" s="27" t="n">
        <v>60</v>
      </c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  <c r="AA19" s="29" t="n"/>
      <c r="AB19" s="29" t="n"/>
      <c r="AC19" s="29" t="n"/>
      <c r="AD19" s="29" t="n"/>
      <c r="AE19" s="29" t="n"/>
      <c r="AF19" s="29" t="n"/>
      <c r="AG19" s="29" t="n"/>
      <c r="AH19" s="29" t="n"/>
      <c r="AI19" s="29" t="n"/>
      <c r="AJ19" s="5">
        <f>SUM(E19:AI19)</f>
        <v/>
      </c>
      <c r="AK19" s="5">
        <f>AJ19*D19</f>
        <v/>
      </c>
    </row>
    <row r="20" ht="25" customFormat="1" customHeight="1" s="1">
      <c r="A20" s="26" t="inlineStr">
        <is>
          <t>2. การประชุมระดับกลุ่มงาน/หน่วยงาน</t>
        </is>
      </c>
      <c r="B20" s="27" t="inlineStr">
        <is>
          <t>วัน</t>
        </is>
      </c>
      <c r="C20" s="28" t="inlineStr">
        <is>
          <t>เหมา</t>
        </is>
      </c>
      <c r="D20" s="27" t="n">
        <v>45</v>
      </c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5">
        <f>SUM(E20:AI20)</f>
        <v/>
      </c>
      <c r="AK20" s="5">
        <f>AJ20*D20</f>
        <v/>
      </c>
    </row>
    <row r="21" ht="25" customFormat="1" customHeight="1" s="1">
      <c r="A21" s="26" t="inlineStr">
        <is>
          <t>3. การประชุมย่อยในหน่วยงาน</t>
        </is>
      </c>
      <c r="B21" s="30" t="inlineStr">
        <is>
          <t>วัน</t>
        </is>
      </c>
      <c r="C21" s="31" t="inlineStr">
        <is>
          <t>เหมา</t>
        </is>
      </c>
      <c r="D21" s="30" t="n">
        <v>10</v>
      </c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2" t="n"/>
      <c r="AD21" s="32" t="n"/>
      <c r="AE21" s="32" t="n"/>
      <c r="AF21" s="32" t="n"/>
      <c r="AG21" s="32" t="n"/>
      <c r="AH21" s="32" t="n"/>
      <c r="AI21" s="32" t="n"/>
      <c r="AJ21" s="33">
        <f>SUM(E21:AI21)</f>
        <v/>
      </c>
      <c r="AK21" s="33">
        <f>AJ21*D21</f>
        <v/>
      </c>
    </row>
    <row r="22" ht="25" customHeight="1">
      <c r="A22" s="449" t="inlineStr">
        <is>
          <t>ราชการ</t>
        </is>
      </c>
      <c r="B22" s="724" t="n"/>
      <c r="C22" s="22" t="n"/>
      <c r="D22" s="22" t="n"/>
      <c r="E22" s="303" t="n"/>
      <c r="F22" s="303" t="n"/>
      <c r="G22" s="303" t="n"/>
      <c r="H22" s="303" t="n"/>
      <c r="I22" s="303" t="n"/>
      <c r="J22" s="303" t="n"/>
      <c r="K22" s="303" t="n"/>
      <c r="L22" s="303" t="n"/>
      <c r="M22" s="303" t="n"/>
      <c r="N22" s="303" t="n"/>
      <c r="O22" s="303" t="n"/>
      <c r="P22" s="303" t="n"/>
      <c r="Q22" s="303" t="n"/>
      <c r="R22" s="303" t="n"/>
      <c r="S22" s="303" t="n"/>
      <c r="T22" s="303" t="n"/>
      <c r="U22" s="303" t="n"/>
      <c r="V22" s="303" t="n"/>
      <c r="W22" s="303" t="n"/>
      <c r="X22" s="303" t="n"/>
      <c r="Y22" s="303" t="n"/>
      <c r="Z22" s="303" t="n"/>
      <c r="AA22" s="303" t="n"/>
      <c r="AB22" s="303" t="n"/>
      <c r="AC22" s="303" t="n"/>
      <c r="AD22" s="303" t="n"/>
      <c r="AE22" s="303" t="n"/>
      <c r="AF22" s="303" t="n"/>
      <c r="AG22" s="303" t="n"/>
      <c r="AH22" s="303" t="n"/>
      <c r="AI22" s="303" t="n"/>
      <c r="AJ22" s="304" t="n"/>
      <c r="AK22" s="305" t="n"/>
    </row>
    <row r="23" ht="50" customHeight="1">
      <c r="A23" s="35" t="inlineStr">
        <is>
          <t>ราชการต่าง ๆ เช่น รับเสด็จ รถพยาบาล  กีฬาสี 
งานเกื้อกูลสังคม (ร่วมพิธีสำคัญ)</t>
        </is>
      </c>
      <c r="B23" s="306" t="n"/>
      <c r="C23" s="307" t="n"/>
      <c r="D23" s="307" t="n"/>
      <c r="E23" s="303" t="n"/>
      <c r="F23" s="303" t="n"/>
      <c r="G23" s="303" t="n"/>
      <c r="H23" s="303" t="n"/>
      <c r="I23" s="303" t="n"/>
      <c r="J23" s="303" t="n"/>
      <c r="K23" s="303" t="n"/>
      <c r="L23" s="303" t="n"/>
      <c r="M23" s="303" t="n"/>
      <c r="N23" s="303" t="n"/>
      <c r="O23" s="303" t="n"/>
      <c r="P23" s="303" t="n"/>
      <c r="Q23" s="303" t="n"/>
      <c r="R23" s="303" t="n"/>
      <c r="S23" s="303" t="n"/>
      <c r="T23" s="303" t="n"/>
      <c r="U23" s="303" t="n"/>
      <c r="V23" s="303" t="n"/>
      <c r="W23" s="303" t="n"/>
      <c r="X23" s="303" t="n"/>
      <c r="Y23" s="303" t="n"/>
      <c r="Z23" s="303" t="n"/>
      <c r="AA23" s="303" t="n"/>
      <c r="AB23" s="303" t="n"/>
      <c r="AC23" s="303" t="n"/>
      <c r="AD23" s="303" t="n"/>
      <c r="AE23" s="303" t="n"/>
      <c r="AF23" s="303" t="n"/>
      <c r="AG23" s="303" t="n"/>
      <c r="AH23" s="303" t="n"/>
      <c r="AI23" s="303" t="n"/>
      <c r="AJ23" s="304" t="n"/>
      <c r="AK23" s="305" t="n"/>
    </row>
    <row r="24" ht="25" customHeight="1">
      <c r="A24" s="40" t="inlineStr">
        <is>
          <t>1. ภายใน รพ.</t>
        </is>
      </c>
      <c r="B24" s="41" t="n"/>
      <c r="C24" s="42" t="n"/>
      <c r="D24" s="43" t="n"/>
      <c r="E24" s="693" t="n"/>
      <c r="F24" s="693" t="n"/>
      <c r="G24" s="693" t="n"/>
      <c r="H24" s="693" t="n"/>
      <c r="I24" s="693" t="n"/>
      <c r="J24" s="693" t="n"/>
      <c r="K24" s="693" t="n"/>
      <c r="L24" s="693" t="n"/>
      <c r="M24" s="693" t="n"/>
      <c r="N24" s="693" t="n"/>
      <c r="O24" s="693" t="n"/>
      <c r="P24" s="693" t="n"/>
      <c r="Q24" s="693" t="n"/>
      <c r="R24" s="693" t="n"/>
      <c r="S24" s="693" t="n"/>
      <c r="T24" s="693" t="n"/>
      <c r="U24" s="693" t="n"/>
      <c r="V24" s="693" t="n"/>
      <c r="W24" s="693" t="n"/>
      <c r="X24" s="693" t="n"/>
      <c r="Y24" s="693" t="n"/>
      <c r="Z24" s="693" t="n"/>
      <c r="AA24" s="693" t="n"/>
      <c r="AB24" s="693" t="n"/>
      <c r="AC24" s="693" t="n"/>
      <c r="AD24" s="693" t="n"/>
      <c r="AE24" s="693" t="n"/>
      <c r="AF24" s="693" t="n"/>
      <c r="AG24" s="693" t="n"/>
      <c r="AH24" s="693" t="n"/>
      <c r="AI24" s="693" t="n"/>
      <c r="AJ24" s="45" t="n"/>
      <c r="AK24" s="46" t="n"/>
    </row>
    <row r="25" ht="25" customHeight="1">
      <c r="A25" s="26" t="inlineStr">
        <is>
          <t xml:space="preserve">   -  หัวหน้าผู้รับผิดชอบราชการ</t>
        </is>
      </c>
      <c r="B25" s="47" t="inlineStr">
        <is>
          <t>วัน</t>
        </is>
      </c>
      <c r="C25" s="48" t="inlineStr">
        <is>
          <t>เหมา</t>
        </is>
      </c>
      <c r="D25" s="308" t="n">
        <v>60</v>
      </c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  <c r="AA25" s="49" t="n"/>
      <c r="AB25" s="49" t="n"/>
      <c r="AC25" s="49" t="n"/>
      <c r="AD25" s="49" t="n"/>
      <c r="AE25" s="49" t="n"/>
      <c r="AF25" s="49" t="n"/>
      <c r="AG25" s="49" t="n"/>
      <c r="AH25" s="49" t="n"/>
      <c r="AI25" s="49" t="n"/>
      <c r="AJ25" s="50">
        <f>SUM(E25:AI25)</f>
        <v/>
      </c>
      <c r="AK25" s="50">
        <f>AJ25*D25</f>
        <v/>
      </c>
    </row>
    <row r="26" ht="25" customHeight="1">
      <c r="A26" s="26" t="inlineStr">
        <is>
          <t xml:space="preserve">   -  ผู้ดำเนินกิจกรรม, นักกีฬา</t>
        </is>
      </c>
      <c r="B26" s="30" t="inlineStr">
        <is>
          <t>วัน</t>
        </is>
      </c>
      <c r="C26" s="31" t="inlineStr">
        <is>
          <t>เหมา</t>
        </is>
      </c>
      <c r="D26" s="309" t="n">
        <v>60</v>
      </c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5">
        <f>SUM(E26:AI26)</f>
        <v/>
      </c>
      <c r="AK26" s="5">
        <f>AJ26*D26</f>
        <v/>
      </c>
    </row>
    <row r="27" ht="25" customHeight="1">
      <c r="A27" s="26" t="inlineStr">
        <is>
          <t xml:space="preserve">   -  ผู้ร่วมงาน</t>
        </is>
      </c>
      <c r="B27" s="30" t="inlineStr">
        <is>
          <t>วัน</t>
        </is>
      </c>
      <c r="C27" s="31" t="inlineStr">
        <is>
          <t>เหมา</t>
        </is>
      </c>
      <c r="D27" s="309" t="n">
        <v>30</v>
      </c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  <c r="AD27" s="32" t="n"/>
      <c r="AE27" s="32" t="n"/>
      <c r="AF27" s="32" t="n"/>
      <c r="AG27" s="32" t="n"/>
      <c r="AH27" s="32" t="n"/>
      <c r="AI27" s="32" t="n"/>
      <c r="AJ27" s="33">
        <f>SUM(E27:AI27)</f>
        <v/>
      </c>
      <c r="AK27" s="33">
        <f>AJ27*D27</f>
        <v/>
      </c>
    </row>
    <row r="28" ht="25" customHeight="1">
      <c r="A28" s="40" t="inlineStr">
        <is>
          <t>2. นอก รพ.</t>
        </is>
      </c>
      <c r="B28" s="51" t="n"/>
      <c r="C28" s="52" t="n"/>
      <c r="D28" s="52" t="n"/>
      <c r="E28" s="693" t="n"/>
      <c r="F28" s="693" t="n"/>
      <c r="G28" s="693" t="n"/>
      <c r="H28" s="693" t="n"/>
      <c r="I28" s="693" t="n"/>
      <c r="J28" s="693" t="n"/>
      <c r="K28" s="693" t="n"/>
      <c r="L28" s="693" t="n"/>
      <c r="M28" s="693" t="n"/>
      <c r="N28" s="693" t="n"/>
      <c r="O28" s="693" t="n"/>
      <c r="P28" s="693" t="n"/>
      <c r="Q28" s="693" t="n"/>
      <c r="R28" s="693" t="n"/>
      <c r="S28" s="693" t="n"/>
      <c r="T28" s="693" t="n"/>
      <c r="U28" s="693" t="n"/>
      <c r="V28" s="693" t="n"/>
      <c r="W28" s="693" t="n"/>
      <c r="X28" s="693" t="n"/>
      <c r="Y28" s="693" t="n"/>
      <c r="Z28" s="693" t="n"/>
      <c r="AA28" s="693" t="n"/>
      <c r="AB28" s="693" t="n"/>
      <c r="AC28" s="693" t="n"/>
      <c r="AD28" s="693" t="n"/>
      <c r="AE28" s="693" t="n"/>
      <c r="AF28" s="693" t="n"/>
      <c r="AG28" s="693" t="n"/>
      <c r="AH28" s="693" t="n"/>
      <c r="AI28" s="693" t="n"/>
      <c r="AJ28" s="45" t="n"/>
      <c r="AK28" s="46" t="n"/>
    </row>
    <row r="29" ht="25" customHeight="1">
      <c r="A29" s="26" t="inlineStr">
        <is>
          <t xml:space="preserve">   -  หัวหน้าผู้รับผิดชอบราชการ</t>
        </is>
      </c>
      <c r="B29" s="47" t="inlineStr">
        <is>
          <t>วัน</t>
        </is>
      </c>
      <c r="C29" s="48" t="inlineStr">
        <is>
          <t>เหมา</t>
        </is>
      </c>
      <c r="D29" s="308" t="n">
        <v>60</v>
      </c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  <c r="AA29" s="49" t="n"/>
      <c r="AB29" s="49" t="n"/>
      <c r="AC29" s="49" t="n"/>
      <c r="AD29" s="49" t="n"/>
      <c r="AE29" s="49" t="n"/>
      <c r="AF29" s="49" t="n"/>
      <c r="AG29" s="49" t="n"/>
      <c r="AH29" s="49" t="n"/>
      <c r="AI29" s="49" t="n"/>
      <c r="AJ29" s="50">
        <f>SUM(E29:AI29)</f>
        <v/>
      </c>
      <c r="AK29" s="50">
        <f>AJ29*D29</f>
        <v/>
      </c>
    </row>
    <row r="30" ht="25" customHeight="1">
      <c r="A30" s="26" t="inlineStr">
        <is>
          <t xml:space="preserve">   -  ผู้ดำเนินกิจกรรม, นักกีฬา</t>
        </is>
      </c>
      <c r="B30" s="30" t="inlineStr">
        <is>
          <t>วัน</t>
        </is>
      </c>
      <c r="C30" s="31" t="inlineStr">
        <is>
          <t>เหมา</t>
        </is>
      </c>
      <c r="D30" s="309" t="n">
        <v>60</v>
      </c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  <c r="AA30" s="29" t="n"/>
      <c r="AB30" s="29" t="n"/>
      <c r="AC30" s="29" t="n"/>
      <c r="AD30" s="29" t="n"/>
      <c r="AE30" s="29" t="n"/>
      <c r="AF30" s="29" t="n"/>
      <c r="AG30" s="29" t="n"/>
      <c r="AH30" s="29" t="n"/>
      <c r="AI30" s="29" t="n"/>
      <c r="AJ30" s="5">
        <f>SUM(E30:AI30)</f>
        <v/>
      </c>
      <c r="AK30" s="5">
        <f>AJ30*D30</f>
        <v/>
      </c>
    </row>
    <row r="31" ht="25" customHeight="1">
      <c r="A31" s="26" t="inlineStr">
        <is>
          <t xml:space="preserve">   -  ผู้ร่วมงาน</t>
        </is>
      </c>
      <c r="B31" s="30" t="inlineStr">
        <is>
          <t>วัน</t>
        </is>
      </c>
      <c r="C31" s="31" t="inlineStr">
        <is>
          <t>เหมา</t>
        </is>
      </c>
      <c r="D31" s="309" t="n">
        <v>30</v>
      </c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  <c r="AE31" s="32" t="n"/>
      <c r="AF31" s="32" t="n"/>
      <c r="AG31" s="32" t="n"/>
      <c r="AH31" s="32" t="n"/>
      <c r="AI31" s="32" t="n"/>
      <c r="AJ31" s="33">
        <f>SUM(E31:AI31)</f>
        <v/>
      </c>
      <c r="AK31" s="33">
        <f>AJ31*D31</f>
        <v/>
      </c>
    </row>
    <row r="32" ht="25" customFormat="1" customHeight="1" s="1">
      <c r="A32" s="40" t="inlineStr">
        <is>
          <t>3. ภารกิจสำคัญของ รพ./ตอบสนองนโยบาย ทร.</t>
        </is>
      </c>
      <c r="B32" s="51" t="n"/>
      <c r="C32" s="52" t="n"/>
      <c r="D32" s="52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45" t="n"/>
      <c r="AK32" s="46" t="n"/>
    </row>
    <row r="33" ht="25" customFormat="1" customHeight="1" s="1">
      <c r="A33" s="26" t="inlineStr">
        <is>
          <t xml:space="preserve">   -  เข้าร่วมการฝึกซ้อมอัคคีภัย, อุบัติภัยหมู่ ฯลฯ ระดับ รพ.</t>
        </is>
      </c>
      <c r="B33" s="30" t="inlineStr">
        <is>
          <t>วัน</t>
        </is>
      </c>
      <c r="C33" s="31" t="inlineStr">
        <is>
          <t>เหมา</t>
        </is>
      </c>
      <c r="D33" s="30" t="n">
        <v>60</v>
      </c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5">
        <f>SUM(E33:AI33)</f>
        <v/>
      </c>
      <c r="AK33" s="5">
        <f>AJ33*D33</f>
        <v/>
      </c>
    </row>
    <row r="34" ht="21" customFormat="1" customHeight="1" s="1">
      <c r="A34" s="26" t="inlineStr">
        <is>
          <t xml:space="preserve">   -  เข้าร่วมการฝึกซ้อมอัคคีภัย, อุบัติภัยหมู่ ฯลฯ ระดับหน่วยงาน</t>
        </is>
      </c>
      <c r="B34" s="27" t="inlineStr">
        <is>
          <t>วัน</t>
        </is>
      </c>
      <c r="C34" s="28" t="inlineStr">
        <is>
          <t>เหมา</t>
        </is>
      </c>
      <c r="D34" s="27" t="n">
        <v>30</v>
      </c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33">
        <f>SUM(E34:AI34)</f>
        <v/>
      </c>
      <c r="AK34" s="33">
        <f>AJ34*D34</f>
        <v/>
      </c>
    </row>
    <row r="35" ht="25" customFormat="1" customHeight="1" s="1">
      <c r="A35" s="26" t="inlineStr">
        <is>
          <t xml:space="preserve">   -  เข้าร่วมการทดสอบสมรรถภาพทางกายกำลังพล</t>
        </is>
      </c>
      <c r="B35" s="27" t="inlineStr">
        <is>
          <t>วัน</t>
        </is>
      </c>
      <c r="C35" s="28" t="inlineStr">
        <is>
          <t>เหมา</t>
        </is>
      </c>
      <c r="D35" s="27" t="n">
        <v>30</v>
      </c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33">
        <f>SUM(E35:AI35)</f>
        <v/>
      </c>
      <c r="AK35" s="33">
        <f>AJ35*D35</f>
        <v/>
      </c>
    </row>
    <row r="36" ht="25" customFormat="1" customHeight="1" s="1">
      <c r="A36" s="26" t="inlineStr">
        <is>
          <t xml:space="preserve">   -  คณะกรรมการการทดสอบสมรรถภาพทางกายกำลังพล</t>
        </is>
      </c>
      <c r="B36" s="27" t="inlineStr">
        <is>
          <t>วัน</t>
        </is>
      </c>
      <c r="C36" s="28" t="inlineStr">
        <is>
          <t>เหมา</t>
        </is>
      </c>
      <c r="D36" s="27" t="n">
        <v>60</v>
      </c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33">
        <f>SUM(E36:AI36)</f>
        <v/>
      </c>
      <c r="AK36" s="33">
        <f>AJ36*D36</f>
        <v/>
      </c>
    </row>
    <row r="37" ht="25" customHeight="1">
      <c r="A37" s="449" t="inlineStr">
        <is>
          <t>งานสถิติ/นิเทศในหน่วยงาน</t>
        </is>
      </c>
      <c r="B37" s="41" t="n"/>
      <c r="C37" s="42" t="n"/>
      <c r="D37" s="43" t="n"/>
      <c r="E37" s="693" t="n"/>
      <c r="F37" s="693" t="n"/>
      <c r="G37" s="693" t="n"/>
      <c r="H37" s="693" t="n"/>
      <c r="I37" s="693" t="n"/>
      <c r="J37" s="693" t="n"/>
      <c r="K37" s="693" t="n"/>
      <c r="L37" s="693" t="n"/>
      <c r="M37" s="693" t="n"/>
      <c r="N37" s="693" t="n"/>
      <c r="O37" s="693" t="n"/>
      <c r="P37" s="693" t="n"/>
      <c r="Q37" s="693" t="n"/>
      <c r="R37" s="693" t="n"/>
      <c r="S37" s="693" t="n"/>
      <c r="T37" s="693" t="n"/>
      <c r="U37" s="693" t="n"/>
      <c r="V37" s="693" t="n"/>
      <c r="W37" s="693" t="n"/>
      <c r="X37" s="693" t="n"/>
      <c r="Y37" s="693" t="n"/>
      <c r="Z37" s="693" t="n"/>
      <c r="AA37" s="693" t="n"/>
      <c r="AB37" s="693" t="n"/>
      <c r="AC37" s="693" t="n"/>
      <c r="AD37" s="693" t="n"/>
      <c r="AE37" s="693" t="n"/>
      <c r="AF37" s="693" t="n"/>
      <c r="AG37" s="693" t="n"/>
      <c r="AH37" s="693" t="n"/>
      <c r="AI37" s="693" t="n"/>
      <c r="AJ37" s="45" t="n"/>
      <c r="AK37" s="46" t="n"/>
    </row>
    <row r="38" ht="25" customHeight="1">
      <c r="A38" s="69" t="inlineStr">
        <is>
          <t>1. รวบรวมรายงานสถิติรายวัน</t>
        </is>
      </c>
      <c r="B38" s="57" t="inlineStr">
        <is>
          <t>รายการ</t>
        </is>
      </c>
      <c r="C38" s="48" t="inlineStr">
        <is>
          <t>เหมา</t>
        </is>
      </c>
      <c r="D38" s="310" t="n">
        <v>0.72</v>
      </c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  <c r="AA38" s="49" t="n"/>
      <c r="AB38" s="49" t="n"/>
      <c r="AC38" s="49" t="n"/>
      <c r="AD38" s="49" t="n"/>
      <c r="AE38" s="49" t="n"/>
      <c r="AF38" s="49" t="n"/>
      <c r="AG38" s="49" t="n"/>
      <c r="AH38" s="49" t="n"/>
      <c r="AI38" s="49" t="n"/>
      <c r="AJ38" s="50">
        <f>SUM(E38:AI38)</f>
        <v/>
      </c>
      <c r="AK38" s="50">
        <f>AJ38*D38</f>
        <v/>
      </c>
    </row>
    <row r="39" ht="25" customHeight="1">
      <c r="A39" s="69" t="inlineStr">
        <is>
          <t xml:space="preserve">2. รวบรวมรายงานสถิติรายเดือน </t>
        </is>
      </c>
      <c r="B39" s="58" t="inlineStr">
        <is>
          <t>รายการ</t>
        </is>
      </c>
      <c r="C39" s="28" t="inlineStr">
        <is>
          <t>เหมา</t>
        </is>
      </c>
      <c r="D39" s="8" t="n">
        <v>8.58</v>
      </c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  <c r="AA39" s="29" t="n"/>
      <c r="AB39" s="29" t="n"/>
      <c r="AC39" s="29" t="n"/>
      <c r="AD39" s="29" t="n"/>
      <c r="AE39" s="29" t="n"/>
      <c r="AF39" s="29" t="n"/>
      <c r="AG39" s="29" t="n"/>
      <c r="AH39" s="29" t="n"/>
      <c r="AI39" s="29" t="n"/>
      <c r="AJ39" s="5">
        <f>SUM(E39:AI39)</f>
        <v/>
      </c>
      <c r="AK39" s="5">
        <f>AJ39*D39</f>
        <v/>
      </c>
    </row>
    <row r="40" ht="25" customHeight="1">
      <c r="A40" s="69" t="inlineStr">
        <is>
          <t>3. รวบรวมข้อมูลสถิติความพึงพอใจ (2 ครั้ง/ปี)</t>
        </is>
      </c>
      <c r="B40" s="58" t="inlineStr">
        <is>
          <t>ครั้ง</t>
        </is>
      </c>
      <c r="C40" s="28" t="inlineStr">
        <is>
          <t>เหมา</t>
        </is>
      </c>
      <c r="D40" s="8" t="n">
        <v>8.58</v>
      </c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  <c r="AA40" s="29" t="n"/>
      <c r="AB40" s="29" t="n"/>
      <c r="AC40" s="29" t="n"/>
      <c r="AD40" s="29" t="n"/>
      <c r="AE40" s="29" t="n"/>
      <c r="AF40" s="29" t="n"/>
      <c r="AG40" s="29" t="n"/>
      <c r="AH40" s="29" t="n"/>
      <c r="AI40" s="29" t="n"/>
      <c r="AJ40" s="5">
        <f>SUM(E40:AI40)</f>
        <v/>
      </c>
      <c r="AK40" s="5">
        <f>AJ40*D40</f>
        <v/>
      </c>
    </row>
    <row r="41" ht="25" customHeight="1">
      <c r="A41" s="74" t="inlineStr">
        <is>
          <t>4. แนะนำผู้รับบริการทำแบบประเมินความพึงพอใจรายวัน</t>
        </is>
      </c>
      <c r="B41" s="60" t="inlineStr">
        <is>
          <t>ครั้ง</t>
        </is>
      </c>
      <c r="C41" s="61" t="n">
        <v>2</v>
      </c>
      <c r="D41" s="311">
        <f>C41*0.143</f>
        <v/>
      </c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  <c r="Z41" s="32" t="n"/>
      <c r="AA41" s="32" t="n"/>
      <c r="AB41" s="32" t="n"/>
      <c r="AC41" s="32" t="n"/>
      <c r="AD41" s="32" t="n"/>
      <c r="AE41" s="32" t="n"/>
      <c r="AF41" s="32" t="n"/>
      <c r="AG41" s="32" t="n"/>
      <c r="AH41" s="32" t="n"/>
      <c r="AI41" s="32" t="n"/>
      <c r="AJ41" s="33">
        <f>SUM(E41:AI41)</f>
        <v/>
      </c>
      <c r="AK41" s="33">
        <f>AJ41*D41</f>
        <v/>
      </c>
    </row>
    <row r="42" ht="25" customHeight="1">
      <c r="A42" s="449" t="inlineStr">
        <is>
          <t>การจัดเวร/เบิกค่าตอบแทน</t>
        </is>
      </c>
      <c r="B42" s="312" t="n"/>
      <c r="C42" s="313" t="n"/>
      <c r="D42" s="95" t="n"/>
      <c r="E42" s="693" t="n"/>
      <c r="F42" s="693" t="n"/>
      <c r="G42" s="693" t="n"/>
      <c r="H42" s="693" t="n"/>
      <c r="I42" s="693" t="n"/>
      <c r="J42" s="693" t="n"/>
      <c r="K42" s="693" t="n"/>
      <c r="L42" s="693" t="n"/>
      <c r="M42" s="693" t="n"/>
      <c r="N42" s="693" t="n"/>
      <c r="O42" s="693" t="n"/>
      <c r="P42" s="693" t="n"/>
      <c r="Q42" s="693" t="n"/>
      <c r="R42" s="693" t="n"/>
      <c r="S42" s="693" t="n"/>
      <c r="T42" s="693" t="n"/>
      <c r="U42" s="693" t="n"/>
      <c r="V42" s="693" t="n"/>
      <c r="W42" s="693" t="n"/>
      <c r="X42" s="693" t="n"/>
      <c r="Y42" s="693" t="n"/>
      <c r="Z42" s="693" t="n"/>
      <c r="AA42" s="693" t="n"/>
      <c r="AB42" s="693" t="n"/>
      <c r="AC42" s="693" t="n"/>
      <c r="AD42" s="693" t="n"/>
      <c r="AE42" s="693" t="n"/>
      <c r="AF42" s="693" t="n"/>
      <c r="AG42" s="693" t="n"/>
      <c r="AH42" s="693" t="n"/>
      <c r="AI42" s="693" t="n"/>
      <c r="AJ42" s="45" t="n"/>
      <c r="AK42" s="46" t="n"/>
    </row>
    <row r="43" ht="25" customHeight="1">
      <c r="A43" s="87" t="inlineStr">
        <is>
          <t>1. จัดตารางเวร (1ครั้ง/เดือน)</t>
        </is>
      </c>
      <c r="B43" s="314" t="inlineStr">
        <is>
          <t xml:space="preserve">เดือน </t>
        </is>
      </c>
      <c r="C43" s="48" t="inlineStr">
        <is>
          <t>เหมา</t>
        </is>
      </c>
      <c r="D43" s="314" t="n">
        <v>30</v>
      </c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  <c r="AA43" s="49" t="n"/>
      <c r="AB43" s="49" t="n"/>
      <c r="AC43" s="49" t="n"/>
      <c r="AD43" s="49" t="n"/>
      <c r="AE43" s="49" t="n"/>
      <c r="AF43" s="49" t="n"/>
      <c r="AG43" s="49" t="n"/>
      <c r="AH43" s="49" t="n"/>
      <c r="AI43" s="49" t="n"/>
      <c r="AJ43" s="50">
        <f>SUM(E43:AI43)</f>
        <v/>
      </c>
      <c r="AK43" s="50">
        <f>AJ43*D43</f>
        <v/>
      </c>
    </row>
    <row r="44" ht="50" customHeight="1">
      <c r="A44" s="87" t="inlineStr">
        <is>
          <t>2. การเบิกค่าตอบแทนเวรนอกเวลา (แพทย์/ทันตแพทย์, พยาบาล, เจ้าหน้าที่อื่น ลงคะแนน 1ครั้ง/เดือน)</t>
        </is>
      </c>
      <c r="B44" s="692" t="inlineStr">
        <is>
          <t xml:space="preserve">เดือน </t>
        </is>
      </c>
      <c r="C44" s="28" t="inlineStr">
        <is>
          <t>เหมา</t>
        </is>
      </c>
      <c r="D44" s="692" t="n">
        <v>60</v>
      </c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  <c r="AA44" s="29" t="n"/>
      <c r="AB44" s="29" t="n"/>
      <c r="AC44" s="29" t="n"/>
      <c r="AD44" s="29" t="n"/>
      <c r="AE44" s="29" t="n"/>
      <c r="AF44" s="29" t="n"/>
      <c r="AG44" s="29" t="n"/>
      <c r="AH44" s="29" t="n"/>
      <c r="AI44" s="29" t="n"/>
      <c r="AJ44" s="5">
        <f>SUM(E44:AI44)</f>
        <v/>
      </c>
      <c r="AK44" s="5">
        <f>AJ44*D44</f>
        <v/>
      </c>
    </row>
    <row r="45" ht="25" customHeight="1">
      <c r="A45" s="87" t="inlineStr">
        <is>
          <t>3. การเบิกค่าตอบแทน P4P (1ครั้ง/เดือน)</t>
        </is>
      </c>
      <c r="B45" s="692" t="inlineStr">
        <is>
          <t xml:space="preserve">เดือน </t>
        </is>
      </c>
      <c r="C45" s="28" t="inlineStr">
        <is>
          <t>เหมา</t>
        </is>
      </c>
      <c r="D45" s="692" t="n">
        <v>60</v>
      </c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  <c r="AA45" s="29" t="n"/>
      <c r="AB45" s="29" t="n"/>
      <c r="AC45" s="29" t="n"/>
      <c r="AD45" s="29" t="n"/>
      <c r="AE45" s="29" t="n"/>
      <c r="AF45" s="29" t="n"/>
      <c r="AG45" s="29" t="n"/>
      <c r="AH45" s="29" t="n"/>
      <c r="AI45" s="29" t="n"/>
      <c r="AJ45" s="5">
        <f>SUM(E45:AI45)</f>
        <v/>
      </c>
      <c r="AK45" s="5">
        <f>AJ45*D45</f>
        <v/>
      </c>
    </row>
    <row r="46" ht="25" customHeight="1">
      <c r="A46" s="69" t="inlineStr">
        <is>
          <t>4. ตรวจสอบข้อมูลการสแกนเข้าออกของเจ้าหน้าที่ประจำเดือน</t>
        </is>
      </c>
      <c r="B46" s="315" t="inlineStr">
        <is>
          <t xml:space="preserve">เดือน </t>
        </is>
      </c>
      <c r="C46" s="31" t="inlineStr">
        <is>
          <t>เหมา</t>
        </is>
      </c>
      <c r="D46" s="316" t="n">
        <v>8.58</v>
      </c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  <c r="AD46" s="32" t="n"/>
      <c r="AE46" s="32" t="n"/>
      <c r="AF46" s="32" t="n"/>
      <c r="AG46" s="32" t="n"/>
      <c r="AH46" s="32" t="n"/>
      <c r="AI46" s="32" t="n"/>
      <c r="AJ46" s="33">
        <f>SUM(E46:AI46)</f>
        <v/>
      </c>
      <c r="AK46" s="33">
        <f>AJ46*D46</f>
        <v/>
      </c>
    </row>
    <row r="47" ht="25" customHeight="1">
      <c r="A47" s="449" t="inlineStr">
        <is>
          <t>การประเมินผลการปฏิบัติงาน/สัมภาษณ์เจ้าหน้าที่</t>
        </is>
      </c>
      <c r="B47" s="56" t="n"/>
      <c r="C47" s="53" t="n"/>
      <c r="D47" s="53" t="n"/>
      <c r="E47" s="693" t="n"/>
      <c r="F47" s="693" t="n"/>
      <c r="G47" s="693" t="n"/>
      <c r="H47" s="693" t="n"/>
      <c r="I47" s="693" t="n"/>
      <c r="J47" s="693" t="n"/>
      <c r="K47" s="693" t="n"/>
      <c r="L47" s="693" t="n"/>
      <c r="M47" s="693" t="n"/>
      <c r="N47" s="693" t="n"/>
      <c r="O47" s="693" t="n"/>
      <c r="P47" s="693" t="n"/>
      <c r="Q47" s="693" t="n"/>
      <c r="R47" s="693" t="n"/>
      <c r="S47" s="693" t="n"/>
      <c r="T47" s="693" t="n"/>
      <c r="U47" s="693" t="n"/>
      <c r="V47" s="693" t="n"/>
      <c r="W47" s="693" t="n"/>
      <c r="X47" s="693" t="n"/>
      <c r="Y47" s="693" t="n"/>
      <c r="Z47" s="693" t="n"/>
      <c r="AA47" s="693" t="n"/>
      <c r="AB47" s="693" t="n"/>
      <c r="AC47" s="693" t="n"/>
      <c r="AD47" s="693" t="n"/>
      <c r="AE47" s="693" t="n"/>
      <c r="AF47" s="693" t="n"/>
      <c r="AG47" s="693" t="n"/>
      <c r="AH47" s="693" t="n"/>
      <c r="AI47" s="693" t="n"/>
      <c r="AJ47" s="45" t="n"/>
      <c r="AK47" s="46" t="n"/>
    </row>
    <row r="48" ht="25" customHeight="1">
      <c r="A48" s="69" t="inlineStr">
        <is>
          <t>1. ประเมินผลนักศึกษา (Approve)</t>
        </is>
      </c>
      <c r="B48" s="54" t="inlineStr">
        <is>
          <t>ครั้ง</t>
        </is>
      </c>
      <c r="C48" s="54" t="inlineStr">
        <is>
          <t>เหมา</t>
        </is>
      </c>
      <c r="D48" s="310" t="n">
        <v>8.58</v>
      </c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  <c r="AA48" s="49" t="n"/>
      <c r="AB48" s="49" t="n"/>
      <c r="AC48" s="49" t="n"/>
      <c r="AD48" s="49" t="n"/>
      <c r="AE48" s="49" t="n"/>
      <c r="AF48" s="49" t="n"/>
      <c r="AG48" s="49" t="n"/>
      <c r="AH48" s="49" t="n"/>
      <c r="AI48" s="49" t="n"/>
      <c r="AJ48" s="50">
        <f>SUM(E48:AI48)</f>
        <v/>
      </c>
      <c r="AK48" s="50">
        <f>AJ48*D48</f>
        <v/>
      </c>
    </row>
    <row r="49" ht="25" customHeight="1">
      <c r="A49" s="69" t="inlineStr">
        <is>
          <t>2. ประเมินผลการปฏิบัติงานเจ้าหน้าที่ KPI (2 ครั้ง/ปี)</t>
        </is>
      </c>
      <c r="B49" s="8" t="inlineStr">
        <is>
          <t>ราย</t>
        </is>
      </c>
      <c r="C49" s="54" t="inlineStr">
        <is>
          <t>เหมา</t>
        </is>
      </c>
      <c r="D49" s="8" t="n">
        <v>1.43</v>
      </c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  <c r="AA49" s="29" t="n"/>
      <c r="AB49" s="29" t="n"/>
      <c r="AC49" s="29" t="n"/>
      <c r="AD49" s="29" t="n"/>
      <c r="AE49" s="29" t="n"/>
      <c r="AF49" s="29" t="n"/>
      <c r="AG49" s="29" t="n"/>
      <c r="AH49" s="29" t="n"/>
      <c r="AI49" s="29" t="n"/>
      <c r="AJ49" s="5">
        <f>SUM(E49:AI49)</f>
        <v/>
      </c>
      <c r="AK49" s="5">
        <f>AJ49*D49</f>
        <v/>
      </c>
    </row>
    <row r="50" ht="25" customHeight="1">
      <c r="A50" s="69" t="inlineStr">
        <is>
          <t>3. ประเมินผลการปฏิบัติงานเจ้าหน้าที่ (สมรรถนะ)(1 ครั้ง/ปี)</t>
        </is>
      </c>
      <c r="B50" s="8" t="inlineStr">
        <is>
          <t>ราย</t>
        </is>
      </c>
      <c r="C50" s="54" t="inlineStr">
        <is>
          <t>เหมา</t>
        </is>
      </c>
      <c r="D50" s="8" t="n">
        <v>1.43</v>
      </c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  <c r="AA50" s="29" t="n"/>
      <c r="AB50" s="29" t="n"/>
      <c r="AC50" s="29" t="n"/>
      <c r="AD50" s="29" t="n"/>
      <c r="AE50" s="29" t="n"/>
      <c r="AF50" s="29" t="n"/>
      <c r="AG50" s="29" t="n"/>
      <c r="AH50" s="29" t="n"/>
      <c r="AI50" s="29" t="n"/>
      <c r="AJ50" s="5">
        <f>SUM(E50:AI50)</f>
        <v/>
      </c>
      <c r="AK50" s="5">
        <f>AJ50*D50</f>
        <v/>
      </c>
    </row>
    <row r="51" ht="25" customHeight="1">
      <c r="A51" s="69" t="inlineStr">
        <is>
          <t>4. สัมภาษณ์เจ้าหน้าที่ (มีคำสั่งเป็น คก.สัมภาษณ์)</t>
        </is>
      </c>
      <c r="B51" s="317" t="inlineStr">
        <is>
          <t>ราย</t>
        </is>
      </c>
      <c r="C51" s="15" t="inlineStr">
        <is>
          <t>เหมา</t>
        </is>
      </c>
      <c r="D51" s="317" t="n">
        <v>2.86</v>
      </c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3">
        <f>SUM(E51:AI51)</f>
        <v/>
      </c>
      <c r="AK51" s="33">
        <f>AJ51*D51</f>
        <v/>
      </c>
    </row>
    <row r="52" ht="25" customHeight="1">
      <c r="A52" s="449" t="inlineStr">
        <is>
          <t>งานครุภัณฑ์ / เวชภัณฑ์ / ยา</t>
        </is>
      </c>
      <c r="B52" s="56" t="n"/>
      <c r="C52" s="53" t="n"/>
      <c r="D52" s="9" t="n"/>
      <c r="E52" s="693" t="n"/>
      <c r="F52" s="693" t="n"/>
      <c r="G52" s="693" t="n"/>
      <c r="H52" s="693" t="n"/>
      <c r="I52" s="693" t="n"/>
      <c r="J52" s="693" t="n"/>
      <c r="K52" s="693" t="n"/>
      <c r="L52" s="693" t="n"/>
      <c r="M52" s="693" t="n"/>
      <c r="N52" s="693" t="n"/>
      <c r="O52" s="693" t="n"/>
      <c r="P52" s="693" t="n"/>
      <c r="Q52" s="693" t="n"/>
      <c r="R52" s="693" t="n"/>
      <c r="S52" s="693" t="n"/>
      <c r="T52" s="693" t="n"/>
      <c r="U52" s="693" t="n"/>
      <c r="V52" s="693" t="n"/>
      <c r="W52" s="693" t="n"/>
      <c r="X52" s="693" t="n"/>
      <c r="Y52" s="693" t="n"/>
      <c r="Z52" s="693" t="n"/>
      <c r="AA52" s="693" t="n"/>
      <c r="AB52" s="693" t="n"/>
      <c r="AC52" s="693" t="n"/>
      <c r="AD52" s="693" t="n"/>
      <c r="AE52" s="693" t="n"/>
      <c r="AF52" s="693" t="n"/>
      <c r="AG52" s="693" t="n"/>
      <c r="AH52" s="693" t="n"/>
      <c r="AI52" s="693" t="n"/>
      <c r="AJ52" s="45" t="n"/>
      <c r="AK52" s="46" t="n"/>
    </row>
    <row r="53" ht="25" customHeight="1">
      <c r="A53" s="19" t="inlineStr">
        <is>
          <t xml:space="preserve">1. เปิดซองประกวดราคา </t>
        </is>
      </c>
      <c r="B53" s="71" t="inlineStr">
        <is>
          <t>รายการ</t>
        </is>
      </c>
      <c r="C53" s="92" t="inlineStr">
        <is>
          <t>เหมา</t>
        </is>
      </c>
      <c r="D53" s="318" t="n">
        <v>8.58</v>
      </c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  <c r="AA53" s="49" t="n"/>
      <c r="AB53" s="49" t="n"/>
      <c r="AC53" s="49" t="n"/>
      <c r="AD53" s="49" t="n"/>
      <c r="AE53" s="49" t="n"/>
      <c r="AF53" s="49" t="n"/>
      <c r="AG53" s="49" t="n"/>
      <c r="AH53" s="49" t="n"/>
      <c r="AI53" s="49" t="n"/>
      <c r="AJ53" s="50">
        <f>SUM(E53:AI53)</f>
        <v/>
      </c>
      <c r="AK53" s="50">
        <f>AJ53*D53</f>
        <v/>
      </c>
    </row>
    <row r="54" ht="50" customHeight="1">
      <c r="A54" s="69" t="inlineStr">
        <is>
          <r>
            <rPr>
              <rFont val="TH SarabunPSK"/>
              <family val="2"/>
              <b val="1"/>
              <color theme="1"/>
              <sz val="16"/>
            </rPr>
            <t>2. เสนอ</t>
          </r>
          <r>
            <rPr>
              <rFont val="TH SarabunPSK"/>
              <family val="2"/>
              <color theme="1"/>
              <sz val="16"/>
            </rPr>
            <t>ความต้องการครุภัณฑ์ทางการแพทย์/
ครุภัณฑ์ประจำหน่วยงาน (ม.ค.)</t>
          </r>
        </is>
      </c>
      <c r="B54" s="73" t="inlineStr">
        <is>
          <t>ปี</t>
        </is>
      </c>
      <c r="C54" s="86" t="inlineStr">
        <is>
          <t>เหมา</t>
        </is>
      </c>
      <c r="D54" s="319" t="n">
        <v>30</v>
      </c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  <c r="AA54" s="29" t="n"/>
      <c r="AB54" s="29" t="n"/>
      <c r="AC54" s="29" t="n"/>
      <c r="AD54" s="29" t="n"/>
      <c r="AE54" s="29" t="n"/>
      <c r="AF54" s="29" t="n"/>
      <c r="AG54" s="29" t="n"/>
      <c r="AH54" s="29" t="n"/>
      <c r="AI54" s="29" t="n"/>
      <c r="AJ54" s="5">
        <f>SUM(E54:AI54)</f>
        <v/>
      </c>
      <c r="AK54" s="5">
        <f>AJ54*D54</f>
        <v/>
      </c>
    </row>
    <row r="55" ht="50" customHeight="1">
      <c r="A55" s="69" t="inlineStr">
        <is>
          <r>
            <rPr>
              <rFont val="TH SarabunPSK"/>
              <family val="2"/>
              <b val="1"/>
              <color theme="1"/>
              <sz val="16"/>
            </rPr>
            <t>3. สรุปยอด</t>
          </r>
          <r>
            <rPr>
              <rFont val="TH SarabunPSK"/>
              <family val="2"/>
              <color theme="1"/>
              <sz val="16"/>
            </rPr>
            <t>ครุภัณฑ์ทางการแพทย์/
ครุภัณฑ์ประจำหน่วยงาน (ก.ย.)</t>
          </r>
        </is>
      </c>
      <c r="B55" s="73" t="inlineStr">
        <is>
          <t>ปี</t>
        </is>
      </c>
      <c r="C55" s="86" t="inlineStr">
        <is>
          <t>เหมา</t>
        </is>
      </c>
      <c r="D55" s="319" t="n">
        <v>60</v>
      </c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  <c r="AA55" s="29" t="n"/>
      <c r="AB55" s="29" t="n"/>
      <c r="AC55" s="29" t="n"/>
      <c r="AD55" s="29" t="n"/>
      <c r="AE55" s="29" t="n"/>
      <c r="AF55" s="29" t="n"/>
      <c r="AG55" s="29" t="n"/>
      <c r="AH55" s="29" t="n"/>
      <c r="AI55" s="29" t="n"/>
      <c r="AJ55" s="5">
        <f>SUM(E55:AI55)</f>
        <v/>
      </c>
      <c r="AK55" s="5">
        <f>AJ55*D55</f>
        <v/>
      </c>
    </row>
    <row r="56" ht="50" customHeight="1">
      <c r="A56" s="69" t="inlineStr">
        <is>
          <r>
            <rPr>
              <rFont val="TH SarabunPSK"/>
              <family val="2"/>
              <b val="1"/>
              <color theme="1"/>
              <sz val="16"/>
            </rPr>
            <t>4. รับทราบการรับพัสดุ</t>
          </r>
          <r>
            <rPr>
              <rFont val="TH SarabunPSK"/>
              <family val="2"/>
              <color theme="1"/>
              <sz val="16"/>
            </rPr>
            <t>ครุภัณฑ์ทางการแพทย์/
ครุภัณฑ์ประจำหอผู้ป่วย</t>
          </r>
        </is>
      </c>
      <c r="B56" s="73" t="inlineStr">
        <is>
          <t>ครั้ง</t>
        </is>
      </c>
      <c r="C56" s="86" t="inlineStr">
        <is>
          <t>เหมา</t>
        </is>
      </c>
      <c r="D56" s="319" t="n">
        <v>1.43</v>
      </c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  <c r="AA56" s="29" t="n"/>
      <c r="AB56" s="29" t="n"/>
      <c r="AC56" s="29" t="n"/>
      <c r="AD56" s="29" t="n"/>
      <c r="AE56" s="29" t="n"/>
      <c r="AF56" s="29" t="n"/>
      <c r="AG56" s="29" t="n"/>
      <c r="AH56" s="29" t="n"/>
      <c r="AI56" s="29" t="n"/>
      <c r="AJ56" s="5">
        <f>SUM(E56:AI56)</f>
        <v/>
      </c>
      <c r="AK56" s="5">
        <f>AJ56*D56</f>
        <v/>
      </c>
    </row>
    <row r="57" ht="25" customHeight="1">
      <c r="A57" s="16" t="inlineStr">
        <is>
          <t>5. ขึ้นทะเบียนครุภัณฑ์</t>
        </is>
      </c>
      <c r="B57" s="14" t="inlineStr">
        <is>
          <t>รายการ</t>
        </is>
      </c>
      <c r="C57" s="71" t="inlineStr">
        <is>
          <t>เหมา</t>
        </is>
      </c>
      <c r="D57" s="56" t="n">
        <v>4.29</v>
      </c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  <c r="AA57" s="29" t="n"/>
      <c r="AB57" s="29" t="n"/>
      <c r="AC57" s="29" t="n"/>
      <c r="AD57" s="29" t="n"/>
      <c r="AE57" s="29" t="n"/>
      <c r="AF57" s="29" t="n"/>
      <c r="AG57" s="29" t="n"/>
      <c r="AH57" s="29" t="n"/>
      <c r="AI57" s="29" t="n"/>
      <c r="AJ57" s="5">
        <f>SUM(E57:AI57)</f>
        <v/>
      </c>
      <c r="AK57" s="5">
        <f>AJ57*D57</f>
        <v/>
      </c>
    </row>
    <row r="58" ht="25" customHeight="1">
      <c r="A58" s="69" t="inlineStr">
        <is>
          <t>6. แทงจำหน่าย/ย้าย/โอนครุภัณฑ์</t>
        </is>
      </c>
      <c r="B58" s="14" t="inlineStr">
        <is>
          <t>รายการ</t>
        </is>
      </c>
      <c r="C58" s="71" t="inlineStr">
        <is>
          <t>เหมา</t>
        </is>
      </c>
      <c r="D58" s="319" t="n">
        <v>8.58</v>
      </c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  <c r="AA58" s="29" t="n"/>
      <c r="AB58" s="29" t="n"/>
      <c r="AC58" s="29" t="n"/>
      <c r="AD58" s="29" t="n"/>
      <c r="AE58" s="29" t="n"/>
      <c r="AF58" s="29" t="n"/>
      <c r="AG58" s="29" t="n"/>
      <c r="AH58" s="29" t="n"/>
      <c r="AI58" s="29" t="n"/>
      <c r="AJ58" s="5">
        <f>SUM(E58:AI58)</f>
        <v/>
      </c>
      <c r="AK58" s="5">
        <f>AJ58*D58</f>
        <v/>
      </c>
    </row>
    <row r="59" ht="50" customHeight="1">
      <c r="A59" s="69" t="inlineStr">
        <is>
          <r>
            <t xml:space="preserve">7. กำหนด </t>
          </r>
          <r>
            <rPr>
              <rFont val="TH SarabunPSK"/>
              <family val="2"/>
              <b val="1"/>
              <color theme="1"/>
              <sz val="16"/>
            </rPr>
            <t>Spec/ร่าง TOR/กำหนดคุณลักษณะ</t>
          </r>
          <r>
            <rPr>
              <rFont val="TH SarabunPSK"/>
              <family val="2"/>
              <color theme="1"/>
              <sz val="16"/>
            </rPr>
            <t>
 </t>
          </r>
          <r>
            <rPr>
              <rFont val="TH SarabunPSK"/>
              <family val="2"/>
              <color rgb="FFFF0000"/>
              <sz val="16"/>
            </rPr>
            <t>ประธาน 3 เท่า,เลขา 2.5 เท่า, กรรมการ 2 เท่า</t>
          </r>
        </is>
      </c>
      <c r="B59" s="14" t="inlineStr">
        <is>
          <t>รายการ</t>
        </is>
      </c>
      <c r="C59" s="71" t="inlineStr">
        <is>
          <t>เหมา</t>
        </is>
      </c>
      <c r="D59" s="320" t="n">
        <v>60.06</v>
      </c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  <c r="AA59" s="29" t="n"/>
      <c r="AB59" s="29" t="n"/>
      <c r="AC59" s="29" t="n"/>
      <c r="AD59" s="29" t="n"/>
      <c r="AE59" s="29" t="n"/>
      <c r="AF59" s="29" t="n"/>
      <c r="AG59" s="29" t="n"/>
      <c r="AH59" s="29" t="n"/>
      <c r="AI59" s="29" t="n"/>
      <c r="AJ59" s="5">
        <f>SUM(E59:AI59)</f>
        <v/>
      </c>
      <c r="AK59" s="5">
        <f>AJ59*D59</f>
        <v/>
      </c>
    </row>
    <row r="60" ht="50" customHeight="1">
      <c r="A60" s="94" t="inlineStr">
        <is>
          <r>
            <t xml:space="preserve">8. ตรวจรับครุภัณฑ์การแพทย์ราคา  </t>
          </r>
          <r>
            <rPr>
              <rFont val="TH SarabunPSK"/>
              <family val="2"/>
              <b val="1"/>
              <color theme="1"/>
              <sz val="16"/>
            </rPr>
            <t>&gt;500,000 บาท</t>
          </r>
          <r>
            <rPr>
              <rFont val="TH SarabunPSK"/>
              <family val="2"/>
              <color theme="1"/>
              <sz val="16"/>
            </rPr>
            <t>
 </t>
          </r>
          <r>
            <rPr>
              <rFont val="TH SarabunPSK"/>
              <family val="2"/>
              <color rgb="FFFF0000"/>
              <sz val="16"/>
            </rPr>
            <t>ประธาน 3 เท่า, เลขา 2.5 เท่า, กรรมการ 2 เท่า</t>
          </r>
        </is>
      </c>
      <c r="B60" s="14" t="inlineStr">
        <is>
          <t>รายการ</t>
        </is>
      </c>
      <c r="C60" s="71" t="inlineStr">
        <is>
          <t>เหมา</t>
        </is>
      </c>
      <c r="D60" s="319" t="n">
        <v>30</v>
      </c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  <c r="AA60" s="29" t="n"/>
      <c r="AB60" s="29" t="n"/>
      <c r="AC60" s="29" t="n"/>
      <c r="AD60" s="29" t="n"/>
      <c r="AE60" s="29" t="n"/>
      <c r="AF60" s="29" t="n"/>
      <c r="AG60" s="29" t="n"/>
      <c r="AH60" s="29" t="n"/>
      <c r="AI60" s="29" t="n"/>
      <c r="AJ60" s="5">
        <f>SUM(E60:AI60)</f>
        <v/>
      </c>
      <c r="AK60" s="5">
        <f>AJ60*D60</f>
        <v/>
      </c>
    </row>
    <row r="61" ht="50" customHeight="1">
      <c r="A61" s="69" t="inlineStr">
        <is>
          <r>
            <t xml:space="preserve">9. ตรวจรับครุภัณฑ์การแพทย์ราคา  </t>
          </r>
          <r>
            <rPr>
              <rFont val="TH SarabunPSK"/>
              <family val="2"/>
              <b val="1"/>
              <color theme="1"/>
              <sz val="16"/>
            </rPr>
            <t>&lt;500,000 บาท</t>
          </r>
          <r>
            <rPr>
              <rFont val="TH SarabunPSK"/>
              <family val="2"/>
              <color theme="1"/>
              <sz val="16"/>
            </rPr>
            <t>
</t>
          </r>
          <r>
            <rPr>
              <rFont val="TH SarabunPSK"/>
              <family val="2"/>
              <color rgb="FFFF0000"/>
              <sz val="16"/>
            </rPr>
            <t xml:space="preserve"> ประธาน 3 เท่า, เลขา 2.5 เท่า, กรรมการ 2 เท่า</t>
          </r>
        </is>
      </c>
      <c r="B61" s="14" t="inlineStr">
        <is>
          <t>รายการ</t>
        </is>
      </c>
      <c r="C61" s="71" t="inlineStr">
        <is>
          <t>เหมา</t>
        </is>
      </c>
      <c r="D61" s="319" t="n">
        <v>20</v>
      </c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  <c r="AA61" s="29" t="n"/>
      <c r="AB61" s="29" t="n"/>
      <c r="AC61" s="29" t="n"/>
      <c r="AD61" s="29" t="n"/>
      <c r="AE61" s="29" t="n"/>
      <c r="AF61" s="29" t="n"/>
      <c r="AG61" s="29" t="n"/>
      <c r="AH61" s="29" t="n"/>
      <c r="AI61" s="29" t="n"/>
      <c r="AJ61" s="5">
        <f>SUM(E61:AI61)</f>
        <v/>
      </c>
      <c r="AK61" s="5">
        <f>AJ61*D61</f>
        <v/>
      </c>
    </row>
    <row r="62" ht="50" customHeight="1">
      <c r="A62" s="69" t="inlineStr">
        <is>
          <t xml:space="preserve">10. รายงาน/ตรวจสอบครุภัณฑ์ /เวชภัณฑ์ / ยา 
ประจำปี </t>
        </is>
      </c>
      <c r="B62" s="73" t="inlineStr">
        <is>
          <t>ปี</t>
        </is>
      </c>
      <c r="C62" s="86" t="inlineStr">
        <is>
          <t>เหมา</t>
        </is>
      </c>
      <c r="D62" s="319" t="n">
        <v>60.06</v>
      </c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  <c r="AA62" s="29" t="n"/>
      <c r="AB62" s="29" t="n"/>
      <c r="AC62" s="29" t="n"/>
      <c r="AD62" s="29" t="n"/>
      <c r="AE62" s="29" t="n"/>
      <c r="AF62" s="29" t="n"/>
      <c r="AG62" s="29" t="n"/>
      <c r="AH62" s="29" t="n"/>
      <c r="AI62" s="29" t="n"/>
      <c r="AJ62" s="5">
        <f>SUM(E62:AI62)</f>
        <v/>
      </c>
      <c r="AK62" s="5">
        <f>AJ62*D62</f>
        <v/>
      </c>
    </row>
    <row r="63" ht="50" customHeight="1">
      <c r="A63" s="69" t="inlineStr">
        <is>
          <r>
            <t xml:space="preserve">11. รายงาน/ตรวจสอบครุภัณฑ์ /เวชภัณฑ์ / ยา ประจำปี </t>
          </r>
          <r>
            <rPr>
              <rFont val="TH SarabunPSK"/>
              <family val="2"/>
              <b val="1"/>
              <color rgb="FFFF0000"/>
              <sz val="16"/>
            </rPr>
            <t>(มีคำสั่ง)</t>
          </r>
        </is>
      </c>
      <c r="B63" s="61" t="inlineStr">
        <is>
          <t>ปี</t>
        </is>
      </c>
      <c r="C63" s="60" t="inlineStr">
        <is>
          <t>เหมา</t>
        </is>
      </c>
      <c r="D63" s="320" t="n">
        <v>60.06</v>
      </c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  <c r="AE63" s="32" t="n"/>
      <c r="AF63" s="32" t="n"/>
      <c r="AG63" s="32" t="n"/>
      <c r="AH63" s="32" t="n"/>
      <c r="AI63" s="32" t="n"/>
      <c r="AJ63" s="33">
        <f>SUM(E63:AI63)</f>
        <v/>
      </c>
      <c r="AK63" s="33">
        <f>AJ63*D63</f>
        <v/>
      </c>
    </row>
    <row r="64" ht="25" customHeight="1">
      <c r="A64" s="449" t="inlineStr">
        <is>
          <t>การจัดการความเสี่ยง</t>
        </is>
      </c>
      <c r="B64" s="82" t="n"/>
      <c r="C64" s="95" t="n"/>
      <c r="D64" s="95" t="n"/>
      <c r="E64" s="693" t="n"/>
      <c r="F64" s="693" t="n"/>
      <c r="G64" s="693" t="n"/>
      <c r="H64" s="693" t="n"/>
      <c r="I64" s="693" t="n"/>
      <c r="J64" s="693" t="n"/>
      <c r="K64" s="693" t="n"/>
      <c r="L64" s="693" t="n"/>
      <c r="M64" s="693" t="n"/>
      <c r="N64" s="693" t="n"/>
      <c r="O64" s="693" t="n"/>
      <c r="P64" s="693" t="n"/>
      <c r="Q64" s="693" t="n"/>
      <c r="R64" s="693" t="n"/>
      <c r="S64" s="693" t="n"/>
      <c r="T64" s="693" t="n"/>
      <c r="U64" s="693" t="n"/>
      <c r="V64" s="693" t="n"/>
      <c r="W64" s="693" t="n"/>
      <c r="X64" s="693" t="n"/>
      <c r="Y64" s="693" t="n"/>
      <c r="Z64" s="693" t="n"/>
      <c r="AA64" s="693" t="n"/>
      <c r="AB64" s="693" t="n"/>
      <c r="AC64" s="693" t="n"/>
      <c r="AD64" s="693" t="n"/>
      <c r="AE64" s="693" t="n"/>
      <c r="AF64" s="693" t="n"/>
      <c r="AG64" s="693" t="n"/>
      <c r="AH64" s="693" t="n"/>
      <c r="AI64" s="693" t="n"/>
      <c r="AJ64" s="45" t="n"/>
      <c r="AK64" s="46" t="n"/>
    </row>
    <row r="65" ht="25" customHeight="1">
      <c r="A65" s="69" t="inlineStr">
        <is>
          <t>1. รายงานความเสี่ยง HRMS / เอกสารอื่น ๆ</t>
        </is>
      </c>
      <c r="B65" s="54" t="inlineStr">
        <is>
          <t>ราย</t>
        </is>
      </c>
      <c r="C65" s="92" t="inlineStr">
        <is>
          <t>เหมา</t>
        </is>
      </c>
      <c r="D65" s="318" t="n">
        <v>4.29</v>
      </c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  <c r="AA65" s="49" t="n"/>
      <c r="AB65" s="49" t="n"/>
      <c r="AC65" s="49" t="n"/>
      <c r="AD65" s="49" t="n"/>
      <c r="AE65" s="49" t="n"/>
      <c r="AF65" s="49" t="n"/>
      <c r="AG65" s="49" t="n"/>
      <c r="AH65" s="49" t="n"/>
      <c r="AI65" s="49" t="n"/>
      <c r="AJ65" s="50">
        <f>SUM(E65:AI65)</f>
        <v/>
      </c>
      <c r="AK65" s="50">
        <f>AJ65*D65</f>
        <v/>
      </c>
    </row>
    <row r="66" ht="25" customHeight="1">
      <c r="A66" s="69" t="inlineStr">
        <is>
          <t xml:space="preserve">2. การยืนยัน HRMS และการแก้ไขในระบบ </t>
        </is>
      </c>
      <c r="B66" s="14" t="inlineStr">
        <is>
          <t>ราย</t>
        </is>
      </c>
      <c r="C66" s="86" t="inlineStr">
        <is>
          <t>เหมา</t>
        </is>
      </c>
      <c r="D66" s="319" t="n">
        <v>4.29</v>
      </c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  <c r="AA66" s="29" t="n"/>
      <c r="AB66" s="29" t="n"/>
      <c r="AC66" s="29" t="n"/>
      <c r="AD66" s="29" t="n"/>
      <c r="AE66" s="29" t="n"/>
      <c r="AF66" s="29" t="n"/>
      <c r="AG66" s="29" t="n"/>
      <c r="AH66" s="29" t="n"/>
      <c r="AI66" s="29" t="n"/>
      <c r="AJ66" s="5">
        <f>SUM(E66:AI66)</f>
        <v/>
      </c>
      <c r="AK66" s="5">
        <f>AJ66*D66</f>
        <v/>
      </c>
    </row>
    <row r="67" ht="25" customHeight="1">
      <c r="A67" s="69" t="inlineStr">
        <is>
          <t>3. ตอบข้อร้องเรียนความเสี่ยง</t>
        </is>
      </c>
      <c r="B67" s="14" t="inlineStr">
        <is>
          <t>ราย</t>
        </is>
      </c>
      <c r="C67" s="86" t="inlineStr">
        <is>
          <t>เหมา</t>
        </is>
      </c>
      <c r="D67" s="319" t="n">
        <v>8.58</v>
      </c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  <c r="AA67" s="29" t="n"/>
      <c r="AB67" s="29" t="n"/>
      <c r="AC67" s="29" t="n"/>
      <c r="AD67" s="29" t="n"/>
      <c r="AE67" s="29" t="n"/>
      <c r="AF67" s="29" t="n"/>
      <c r="AG67" s="29" t="n"/>
      <c r="AH67" s="29" t="n"/>
      <c r="AI67" s="29" t="n"/>
      <c r="AJ67" s="5">
        <f>SUM(E67:AI67)</f>
        <v/>
      </c>
      <c r="AK67" s="5">
        <f>AJ67*D67</f>
        <v/>
      </c>
    </row>
    <row r="68" ht="25" customHeight="1">
      <c r="A68" s="16" t="inlineStr">
        <is>
          <t>4. การบริหารจัดการความเสี่ยงกับผู้รับบริการ</t>
        </is>
      </c>
      <c r="B68" s="15" t="inlineStr">
        <is>
          <t>ครั้ง</t>
        </is>
      </c>
      <c r="C68" s="96" t="inlineStr">
        <is>
          <t>เหมา</t>
        </is>
      </c>
      <c r="D68" s="724" t="n">
        <v>4.29</v>
      </c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n"/>
      <c r="AA68" s="32" t="n"/>
      <c r="AB68" s="32" t="n"/>
      <c r="AC68" s="32" t="n"/>
      <c r="AD68" s="32" t="n"/>
      <c r="AE68" s="32" t="n"/>
      <c r="AF68" s="32" t="n"/>
      <c r="AG68" s="32" t="n"/>
      <c r="AH68" s="32" t="n"/>
      <c r="AI68" s="32" t="n"/>
      <c r="AJ68" s="33">
        <f>SUM(E68:AI68)</f>
        <v/>
      </c>
      <c r="AK68" s="33">
        <f>AJ68*D68</f>
        <v/>
      </c>
    </row>
    <row r="69" ht="25" customHeight="1">
      <c r="A69" s="451" t="inlineStr">
        <is>
          <t>การจัดโครงการในโรงพยาบาล</t>
        </is>
      </c>
      <c r="B69" s="98" t="n"/>
      <c r="C69" s="99" t="n"/>
      <c r="D69" s="99" t="n"/>
      <c r="E69" s="303" t="n"/>
      <c r="F69" s="303" t="n"/>
      <c r="G69" s="303" t="n"/>
      <c r="H69" s="303" t="n"/>
      <c r="I69" s="303" t="n"/>
      <c r="J69" s="303" t="n"/>
      <c r="K69" s="303" t="n"/>
      <c r="L69" s="303" t="n"/>
      <c r="M69" s="303" t="n"/>
      <c r="N69" s="303" t="n"/>
      <c r="O69" s="303" t="n"/>
      <c r="P69" s="303" t="n"/>
      <c r="Q69" s="303" t="n"/>
      <c r="R69" s="303" t="n"/>
      <c r="S69" s="303" t="n"/>
      <c r="T69" s="303" t="n"/>
      <c r="U69" s="303" t="n"/>
      <c r="V69" s="303" t="n"/>
      <c r="W69" s="303" t="n"/>
      <c r="X69" s="303" t="n"/>
      <c r="Y69" s="303" t="n"/>
      <c r="Z69" s="303" t="n"/>
      <c r="AA69" s="303" t="n"/>
      <c r="AB69" s="303" t="n"/>
      <c r="AC69" s="303" t="n"/>
      <c r="AD69" s="303" t="n"/>
      <c r="AE69" s="303" t="n"/>
      <c r="AF69" s="303" t="n"/>
      <c r="AG69" s="303" t="n"/>
      <c r="AH69" s="303" t="n"/>
      <c r="AI69" s="303" t="n"/>
      <c r="AJ69" s="304" t="n"/>
      <c r="AK69" s="305" t="n"/>
    </row>
    <row r="70" ht="25" customHeight="1">
      <c r="A70" s="101" t="inlineStr">
        <is>
          <t>1. การจัดทำโครงการ</t>
        </is>
      </c>
      <c r="B70" s="102" t="n"/>
      <c r="C70" s="103" t="n"/>
      <c r="D70" s="103" t="n"/>
      <c r="E70" s="693" t="n"/>
      <c r="F70" s="693" t="n"/>
      <c r="G70" s="693" t="n"/>
      <c r="H70" s="693" t="n"/>
      <c r="I70" s="693" t="n"/>
      <c r="J70" s="693" t="n"/>
      <c r="K70" s="693" t="n"/>
      <c r="L70" s="693" t="n"/>
      <c r="M70" s="693" t="n"/>
      <c r="N70" s="693" t="n"/>
      <c r="O70" s="693" t="n"/>
      <c r="P70" s="693" t="n"/>
      <c r="Q70" s="693" t="n"/>
      <c r="R70" s="693" t="n"/>
      <c r="S70" s="693" t="n"/>
      <c r="T70" s="693" t="n"/>
      <c r="U70" s="693" t="n"/>
      <c r="V70" s="693" t="n"/>
      <c r="W70" s="693" t="n"/>
      <c r="X70" s="693" t="n"/>
      <c r="Y70" s="693" t="n"/>
      <c r="Z70" s="693" t="n"/>
      <c r="AA70" s="693" t="n"/>
      <c r="AB70" s="693" t="n"/>
      <c r="AC70" s="693" t="n"/>
      <c r="AD70" s="693" t="n"/>
      <c r="AE70" s="693" t="n"/>
      <c r="AF70" s="693" t="n"/>
      <c r="AG70" s="693" t="n"/>
      <c r="AH70" s="693" t="n"/>
      <c r="AI70" s="693" t="n"/>
      <c r="AJ70" s="45" t="n"/>
      <c r="AK70" s="46" t="n"/>
    </row>
    <row r="71" ht="50" customHeight="1">
      <c r="A71" s="16" t="inlineStr">
        <is>
          <t>- โครงการผ่านอนุมัติดำเนินการ (กรุณาระบุหมายเหตุโครงการ ให้คะแนน 1 โครงการ : 1 ครั้ง)</t>
        </is>
      </c>
      <c r="B71" s="104" t="inlineStr">
        <is>
          <t>ครั้ง</t>
        </is>
      </c>
      <c r="C71" s="104" t="inlineStr">
        <is>
          <t>เหมา</t>
        </is>
      </c>
      <c r="D71" s="322" t="n">
        <v>60.06</v>
      </c>
      <c r="E71" s="323" t="n"/>
      <c r="F71" s="323" t="n"/>
      <c r="G71" s="323" t="n"/>
      <c r="H71" s="323" t="n"/>
      <c r="I71" s="323" t="n"/>
      <c r="J71" s="323" t="n"/>
      <c r="K71" s="323" t="n"/>
      <c r="L71" s="323" t="n"/>
      <c r="M71" s="323" t="n"/>
      <c r="N71" s="323" t="n"/>
      <c r="O71" s="323" t="n"/>
      <c r="P71" s="323" t="n"/>
      <c r="Q71" s="323" t="n"/>
      <c r="R71" s="323" t="n"/>
      <c r="S71" s="323" t="n"/>
      <c r="T71" s="323" t="n"/>
      <c r="U71" s="323" t="n"/>
      <c r="V71" s="323" t="n"/>
      <c r="W71" s="323" t="n"/>
      <c r="X71" s="323" t="n"/>
      <c r="Y71" s="323" t="n"/>
      <c r="Z71" s="323" t="n"/>
      <c r="AA71" s="323" t="n"/>
      <c r="AB71" s="323" t="n"/>
      <c r="AC71" s="323" t="n"/>
      <c r="AD71" s="323" t="n"/>
      <c r="AE71" s="323" t="n"/>
      <c r="AF71" s="323" t="n"/>
      <c r="AG71" s="323" t="n"/>
      <c r="AH71" s="323" t="n"/>
      <c r="AI71" s="323" t="n"/>
      <c r="AJ71" s="105">
        <f>SUM(E71:AI71)</f>
        <v/>
      </c>
      <c r="AK71" s="105">
        <f>AJ71*D71</f>
        <v/>
      </c>
    </row>
    <row r="72" ht="25" customHeight="1">
      <c r="A72" s="101" t="inlineStr">
        <is>
          <t>2. วันที่ดำเนินโครงการ/กิจกรรม</t>
        </is>
      </c>
      <c r="B72" s="106" t="n"/>
      <c r="C72" s="107" t="n"/>
      <c r="D72" s="107" t="n"/>
      <c r="E72" s="693" t="n"/>
      <c r="F72" s="693" t="n"/>
      <c r="G72" s="693" t="n"/>
      <c r="H72" s="693" t="n"/>
      <c r="I72" s="693" t="n"/>
      <c r="J72" s="693" t="n"/>
      <c r="K72" s="693" t="n"/>
      <c r="L72" s="693" t="n"/>
      <c r="M72" s="693" t="n"/>
      <c r="N72" s="693" t="n"/>
      <c r="O72" s="693" t="n"/>
      <c r="P72" s="693" t="n"/>
      <c r="Q72" s="693" t="n"/>
      <c r="R72" s="693" t="n"/>
      <c r="S72" s="693" t="n"/>
      <c r="T72" s="693" t="n"/>
      <c r="U72" s="693" t="n"/>
      <c r="V72" s="693" t="n"/>
      <c r="W72" s="693" t="n"/>
      <c r="X72" s="693" t="n"/>
      <c r="Y72" s="693" t="n"/>
      <c r="Z72" s="693" t="n"/>
      <c r="AA72" s="693" t="n"/>
      <c r="AB72" s="693" t="n"/>
      <c r="AC72" s="693" t="n"/>
      <c r="AD72" s="693" t="n"/>
      <c r="AE72" s="693" t="n"/>
      <c r="AF72" s="693" t="n"/>
      <c r="AG72" s="693" t="n"/>
      <c r="AH72" s="693" t="n"/>
      <c r="AI72" s="693" t="n"/>
      <c r="AJ72" s="45" t="n"/>
      <c r="AK72" s="46" t="n"/>
    </row>
    <row r="73" ht="50" customHeight="1">
      <c r="A73" s="16" t="inlineStr">
        <is>
          <t>- Project manager (กรุณาระบุหมายเหตุโครงการ สามารถเก็บคะแนนได้ตามจำนวนวันที่ปฏิบัติจริง)</t>
        </is>
      </c>
      <c r="B73" s="108" t="inlineStr">
        <is>
          <t>ครั้ง</t>
        </is>
      </c>
      <c r="C73" s="108" t="inlineStr">
        <is>
          <t>เหมา</t>
        </is>
      </c>
      <c r="D73" s="298" t="n">
        <v>60.06</v>
      </c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  <c r="AA73" s="49" t="n"/>
      <c r="AB73" s="49" t="n"/>
      <c r="AC73" s="49" t="n"/>
      <c r="AD73" s="49" t="n"/>
      <c r="AE73" s="49" t="n"/>
      <c r="AF73" s="49" t="n"/>
      <c r="AG73" s="49" t="n"/>
      <c r="AH73" s="49" t="n"/>
      <c r="AI73" s="49" t="n"/>
      <c r="AJ73" s="50">
        <f>SUM(E73:AI73)</f>
        <v/>
      </c>
      <c r="AK73" s="50">
        <f>AJ73*D73</f>
        <v/>
      </c>
    </row>
    <row r="74" ht="50" customHeight="1">
      <c r="A74" s="16" t="inlineStr">
        <is>
          <t>- Member (กรุณาระบุหมายเหตุโครงการ สามารถเก็บคะแนนได้ตามจำนวนวันที่ปฏิบัติจริง)</t>
        </is>
      </c>
      <c r="B74" s="18" t="inlineStr">
        <is>
          <t>ครั้ง</t>
        </is>
      </c>
      <c r="C74" s="18" t="inlineStr">
        <is>
          <t>เหมา</t>
        </is>
      </c>
      <c r="D74" s="324" t="n">
        <v>30.03</v>
      </c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  <c r="AA74" s="32" t="n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3">
        <f>SUM(E74:AI74)</f>
        <v/>
      </c>
      <c r="AK74" s="33">
        <f>AJ74*D74</f>
        <v/>
      </c>
    </row>
    <row r="75" ht="25" customHeight="1">
      <c r="A75" s="101" t="inlineStr">
        <is>
          <t>3. สรุปผลการดำเนินโครงการ</t>
        </is>
      </c>
      <c r="B75" s="106" t="n"/>
      <c r="C75" s="107" t="n"/>
      <c r="D75" s="107" t="n"/>
      <c r="E75" s="693" t="n"/>
      <c r="F75" s="693" t="n"/>
      <c r="G75" s="693" t="n"/>
      <c r="H75" s="693" t="n"/>
      <c r="I75" s="693" t="n"/>
      <c r="J75" s="693" t="n"/>
      <c r="K75" s="693" t="n"/>
      <c r="L75" s="693" t="n"/>
      <c r="M75" s="693" t="n"/>
      <c r="N75" s="693" t="n"/>
      <c r="O75" s="693" t="n"/>
      <c r="P75" s="693" t="n"/>
      <c r="Q75" s="693" t="n"/>
      <c r="R75" s="693" t="n"/>
      <c r="S75" s="693" t="n"/>
      <c r="T75" s="693" t="n"/>
      <c r="U75" s="693" t="n"/>
      <c r="V75" s="693" t="n"/>
      <c r="W75" s="693" t="n"/>
      <c r="X75" s="693" t="n"/>
      <c r="Y75" s="693" t="n"/>
      <c r="Z75" s="693" t="n"/>
      <c r="AA75" s="693" t="n"/>
      <c r="AB75" s="693" t="n"/>
      <c r="AC75" s="693" t="n"/>
      <c r="AD75" s="693" t="n"/>
      <c r="AE75" s="693" t="n"/>
      <c r="AF75" s="693" t="n"/>
      <c r="AG75" s="693" t="n"/>
      <c r="AH75" s="693" t="n"/>
      <c r="AI75" s="693" t="n"/>
      <c r="AJ75" s="45" t="n"/>
      <c r="AK75" s="46" t="n"/>
    </row>
    <row r="76" ht="50" customHeight="1">
      <c r="A76" s="16" t="inlineStr">
        <is>
          <t>- สรุปผลการดำเนินโครงการ (กรุณาระบุหมายเหตุโครงการ ให้คะแนน 1 โครงการ : 1 ครั้ง)</t>
        </is>
      </c>
      <c r="B76" s="104" t="inlineStr">
        <is>
          <t>ครั้ง</t>
        </is>
      </c>
      <c r="C76" s="104" t="inlineStr">
        <is>
          <t>เหมา</t>
        </is>
      </c>
      <c r="D76" s="322" t="n">
        <v>60.06</v>
      </c>
      <c r="E76" s="323" t="n"/>
      <c r="F76" s="323" t="n"/>
      <c r="G76" s="323" t="n"/>
      <c r="H76" s="323" t="n"/>
      <c r="I76" s="323" t="n"/>
      <c r="J76" s="323" t="n"/>
      <c r="K76" s="323" t="n"/>
      <c r="L76" s="323" t="n"/>
      <c r="M76" s="323" t="n"/>
      <c r="N76" s="323" t="n"/>
      <c r="O76" s="323" t="n"/>
      <c r="P76" s="323" t="n"/>
      <c r="Q76" s="323" t="n"/>
      <c r="R76" s="323" t="n"/>
      <c r="S76" s="323" t="n"/>
      <c r="T76" s="323" t="n"/>
      <c r="U76" s="323" t="n"/>
      <c r="V76" s="323" t="n"/>
      <c r="W76" s="323" t="n"/>
      <c r="X76" s="323" t="n"/>
      <c r="Y76" s="323" t="n"/>
      <c r="Z76" s="323" t="n"/>
      <c r="AA76" s="323" t="n"/>
      <c r="AB76" s="323" t="n"/>
      <c r="AC76" s="323" t="n"/>
      <c r="AD76" s="323" t="n"/>
      <c r="AE76" s="323" t="n"/>
      <c r="AF76" s="323" t="n"/>
      <c r="AG76" s="323" t="n"/>
      <c r="AH76" s="323" t="n"/>
      <c r="AI76" s="323" t="n"/>
      <c r="AJ76" s="105">
        <f>SUM(E76:AI76)</f>
        <v/>
      </c>
      <c r="AK76" s="105">
        <f>AJ76*D76</f>
        <v/>
      </c>
    </row>
    <row r="77" ht="25" customHeight="1">
      <c r="A77" s="452" t="inlineStr">
        <is>
          <t xml:space="preserve">ตรวจสอบ/ช่วยลงคะแนน P4P </t>
        </is>
      </c>
      <c r="B77" s="109" t="n"/>
      <c r="C77" s="110" t="n"/>
      <c r="D77" s="110" t="n"/>
      <c r="E77" s="693" t="n"/>
      <c r="F77" s="693" t="n"/>
      <c r="G77" s="693" t="n"/>
      <c r="H77" s="693" t="n"/>
      <c r="I77" s="693" t="n"/>
      <c r="J77" s="693" t="n"/>
      <c r="K77" s="693" t="n"/>
      <c r="L77" s="693" t="n"/>
      <c r="M77" s="693" t="n"/>
      <c r="N77" s="693" t="n"/>
      <c r="O77" s="693" t="n"/>
      <c r="P77" s="693" t="n"/>
      <c r="Q77" s="693" t="n"/>
      <c r="R77" s="693" t="n"/>
      <c r="S77" s="693" t="n"/>
      <c r="T77" s="693" t="n"/>
      <c r="U77" s="693" t="n"/>
      <c r="V77" s="693" t="n"/>
      <c r="W77" s="693" t="n"/>
      <c r="X77" s="693" t="n"/>
      <c r="Y77" s="693" t="n"/>
      <c r="Z77" s="693" t="n"/>
      <c r="AA77" s="693" t="n"/>
      <c r="AB77" s="693" t="n"/>
      <c r="AC77" s="693" t="n"/>
      <c r="AD77" s="693" t="n"/>
      <c r="AE77" s="693" t="n"/>
      <c r="AF77" s="693" t="n"/>
      <c r="AG77" s="693" t="n"/>
      <c r="AH77" s="693" t="n"/>
      <c r="AI77" s="693" t="n"/>
      <c r="AJ77" s="45" t="n"/>
      <c r="AK77" s="46" t="n"/>
    </row>
    <row r="78" ht="25" customHeight="1">
      <c r="A78" s="111" t="inlineStr">
        <is>
          <t>1. ตราวจสอบจำนวน 1 - 10 ราย</t>
        </is>
      </c>
      <c r="B78" s="92" t="inlineStr">
        <is>
          <t>เดือน</t>
        </is>
      </c>
      <c r="C78" s="71" t="inlineStr">
        <is>
          <t>เหมา</t>
        </is>
      </c>
      <c r="D78" s="326" t="n">
        <v>100</v>
      </c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  <c r="AA78" s="49" t="n"/>
      <c r="AB78" s="49" t="n"/>
      <c r="AC78" s="49" t="n"/>
      <c r="AD78" s="49" t="n"/>
      <c r="AE78" s="49" t="n"/>
      <c r="AF78" s="49" t="n"/>
      <c r="AG78" s="49" t="n"/>
      <c r="AH78" s="49" t="n"/>
      <c r="AI78" s="49" t="n"/>
      <c r="AJ78" s="50">
        <f>SUM(E78:AI78)</f>
        <v/>
      </c>
      <c r="AK78" s="50">
        <f>AJ78*D78</f>
        <v/>
      </c>
    </row>
    <row r="79" ht="25" customHeight="1">
      <c r="A79" s="111" t="inlineStr">
        <is>
          <t>2. ตราวจสอบจำนวน 11 - 20 ราย</t>
        </is>
      </c>
      <c r="B79" s="86" t="inlineStr">
        <is>
          <t>เดือน</t>
        </is>
      </c>
      <c r="C79" s="73" t="inlineStr">
        <is>
          <t>เหมา</t>
        </is>
      </c>
      <c r="D79" s="327" t="n">
        <v>200</v>
      </c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  <c r="AA79" s="29" t="n"/>
      <c r="AB79" s="29" t="n"/>
      <c r="AC79" s="29" t="n"/>
      <c r="AD79" s="29" t="n"/>
      <c r="AE79" s="29" t="n"/>
      <c r="AF79" s="29" t="n"/>
      <c r="AG79" s="29" t="n"/>
      <c r="AH79" s="29" t="n"/>
      <c r="AI79" s="29" t="n"/>
      <c r="AJ79" s="5">
        <f>SUM(E79:AI79)</f>
        <v/>
      </c>
      <c r="AK79" s="5">
        <f>AJ79*D79</f>
        <v/>
      </c>
    </row>
    <row r="80" ht="25" customHeight="1">
      <c r="A80" s="111" t="inlineStr">
        <is>
          <t>3. ตราวจสอบจำนวน 21 - 30 ราย</t>
        </is>
      </c>
      <c r="B80" s="86" t="inlineStr">
        <is>
          <t>เดือน</t>
        </is>
      </c>
      <c r="C80" s="73" t="inlineStr">
        <is>
          <t>เหมา</t>
        </is>
      </c>
      <c r="D80" s="327" t="n">
        <v>300</v>
      </c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  <c r="AA80" s="29" t="n"/>
      <c r="AB80" s="29" t="n"/>
      <c r="AC80" s="29" t="n"/>
      <c r="AD80" s="29" t="n"/>
      <c r="AE80" s="29" t="n"/>
      <c r="AF80" s="29" t="n"/>
      <c r="AG80" s="29" t="n"/>
      <c r="AH80" s="29" t="n"/>
      <c r="AI80" s="29" t="n"/>
      <c r="AJ80" s="5">
        <f>SUM(E80:AI80)</f>
        <v/>
      </c>
      <c r="AK80" s="5">
        <f>AJ80*D80</f>
        <v/>
      </c>
    </row>
    <row r="81" ht="25" customHeight="1">
      <c r="A81" s="111" t="inlineStr">
        <is>
          <t>4. ตราวจสอบจำนวน 31 - 40 ราย</t>
        </is>
      </c>
      <c r="B81" s="86" t="inlineStr">
        <is>
          <t>เดือน</t>
        </is>
      </c>
      <c r="C81" s="73" t="inlineStr">
        <is>
          <t>เหมา</t>
        </is>
      </c>
      <c r="D81" s="327" t="n">
        <v>400</v>
      </c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  <c r="AA81" s="29" t="n"/>
      <c r="AB81" s="29" t="n"/>
      <c r="AC81" s="29" t="n"/>
      <c r="AD81" s="29" t="n"/>
      <c r="AE81" s="29" t="n"/>
      <c r="AF81" s="29" t="n"/>
      <c r="AG81" s="29" t="n"/>
      <c r="AH81" s="29" t="n"/>
      <c r="AI81" s="29" t="n"/>
      <c r="AJ81" s="5">
        <f>SUM(E81:AI81)</f>
        <v/>
      </c>
      <c r="AK81" s="5">
        <f>AJ81*D81</f>
        <v/>
      </c>
    </row>
    <row r="82" ht="25" customHeight="1">
      <c r="A82" s="111" t="inlineStr">
        <is>
          <t>5. ตราวจสอบจำนวนมากกว่า 40 ราย</t>
        </is>
      </c>
      <c r="B82" s="86" t="inlineStr">
        <is>
          <t>เดือน</t>
        </is>
      </c>
      <c r="C82" s="73" t="inlineStr">
        <is>
          <t>เหมา</t>
        </is>
      </c>
      <c r="D82" s="327" t="n">
        <v>500</v>
      </c>
      <c r="E82" s="29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  <c r="AA82" s="29" t="n"/>
      <c r="AB82" s="29" t="n"/>
      <c r="AC82" s="29" t="n"/>
      <c r="AD82" s="29" t="n"/>
      <c r="AE82" s="29" t="n"/>
      <c r="AF82" s="29" t="n"/>
      <c r="AG82" s="29" t="n"/>
      <c r="AH82" s="29" t="n"/>
      <c r="AI82" s="29" t="n"/>
      <c r="AJ82" s="5">
        <f>SUM(E82:AI82)</f>
        <v/>
      </c>
      <c r="AK82" s="5">
        <f>AJ82*D82</f>
        <v/>
      </c>
    </row>
    <row r="83" ht="25" customHeight="1">
      <c r="A83" s="16" t="inlineStr">
        <is>
          <t>6. ช่วยลงคะแนน P4P พนักงาน/ NA</t>
        </is>
      </c>
      <c r="B83" s="15" t="inlineStr">
        <is>
          <t>ราย</t>
        </is>
      </c>
      <c r="C83" s="96" t="inlineStr">
        <is>
          <t>เหมา</t>
        </is>
      </c>
      <c r="D83" s="724" t="n">
        <v>0.71</v>
      </c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  <c r="Y83" s="32" t="n"/>
      <c r="Z83" s="32" t="n"/>
      <c r="AA83" s="32" t="n"/>
      <c r="AB83" s="32" t="n"/>
      <c r="AC83" s="32" t="n"/>
      <c r="AD83" s="32" t="n"/>
      <c r="AE83" s="32" t="n"/>
      <c r="AF83" s="32" t="n"/>
      <c r="AG83" s="32" t="n"/>
      <c r="AH83" s="32" t="n"/>
      <c r="AI83" s="32" t="n"/>
      <c r="AJ83" s="33">
        <f>SUM(E83:AI83)</f>
        <v/>
      </c>
      <c r="AK83" s="33">
        <f>AJ83*D83</f>
        <v/>
      </c>
    </row>
    <row r="84" ht="25" customHeight="1">
      <c r="A84" s="453" t="inlineStr">
        <is>
          <t>คณะกรรมการตรวจสอบ P4P</t>
        </is>
      </c>
      <c r="B84" s="113" t="n"/>
      <c r="C84" s="114" t="n"/>
      <c r="D84" s="115" t="n"/>
      <c r="E84" s="693" t="n"/>
      <c r="F84" s="693" t="n"/>
      <c r="G84" s="693" t="n"/>
      <c r="H84" s="693" t="n"/>
      <c r="I84" s="693" t="n"/>
      <c r="J84" s="693" t="n"/>
      <c r="K84" s="693" t="n"/>
      <c r="L84" s="693" t="n"/>
      <c r="M84" s="693" t="n"/>
      <c r="N84" s="693" t="n"/>
      <c r="O84" s="693" t="n"/>
      <c r="P84" s="693" t="n"/>
      <c r="Q84" s="693" t="n"/>
      <c r="R84" s="693" t="n"/>
      <c r="S84" s="693" t="n"/>
      <c r="T84" s="693" t="n"/>
      <c r="U84" s="693" t="n"/>
      <c r="V84" s="693" t="n"/>
      <c r="W84" s="693" t="n"/>
      <c r="X84" s="693" t="n"/>
      <c r="Y84" s="693" t="n"/>
      <c r="Z84" s="693" t="n"/>
      <c r="AA84" s="693" t="n"/>
      <c r="AB84" s="693" t="n"/>
      <c r="AC84" s="693" t="n"/>
      <c r="AD84" s="693" t="n"/>
      <c r="AE84" s="693" t="n"/>
      <c r="AF84" s="693" t="n"/>
      <c r="AG84" s="693" t="n"/>
      <c r="AH84" s="693" t="n"/>
      <c r="AI84" s="693" t="n"/>
      <c r="AJ84" s="45" t="n"/>
      <c r="AK84" s="46" t="n"/>
    </row>
    <row r="85" ht="25" customHeight="1">
      <c r="A85" s="111" t="inlineStr">
        <is>
          <t>1. ตรวจสอบจำนวน 1 - 10 ราย</t>
        </is>
      </c>
      <c r="B85" s="92" t="inlineStr">
        <is>
          <t>เดือน</t>
        </is>
      </c>
      <c r="C85" s="71" t="inlineStr">
        <is>
          <t>เหมา</t>
        </is>
      </c>
      <c r="D85" s="326" t="n">
        <v>200</v>
      </c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  <c r="AA85" s="49" t="n"/>
      <c r="AB85" s="49" t="n"/>
      <c r="AC85" s="49" t="n"/>
      <c r="AD85" s="49" t="n"/>
      <c r="AE85" s="49" t="n"/>
      <c r="AF85" s="49" t="n"/>
      <c r="AG85" s="49" t="n"/>
      <c r="AH85" s="49" t="n"/>
      <c r="AI85" s="49" t="n"/>
      <c r="AJ85" s="50">
        <f>SUM(E85:AI85)</f>
        <v/>
      </c>
      <c r="AK85" s="50">
        <f>AJ85*D85</f>
        <v/>
      </c>
    </row>
    <row r="86" ht="25" customHeight="1">
      <c r="A86" s="111" t="inlineStr">
        <is>
          <t>2. ตรวจสอบจำนวน 11 - 20 ราย</t>
        </is>
      </c>
      <c r="B86" s="86" t="inlineStr">
        <is>
          <t>เดือน</t>
        </is>
      </c>
      <c r="C86" s="73" t="inlineStr">
        <is>
          <t>เหมา</t>
        </is>
      </c>
      <c r="D86" s="327" t="n">
        <v>300</v>
      </c>
      <c r="E86" s="29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  <c r="AA86" s="29" t="n"/>
      <c r="AB86" s="29" t="n"/>
      <c r="AC86" s="29" t="n"/>
      <c r="AD86" s="29" t="n"/>
      <c r="AE86" s="29" t="n"/>
      <c r="AF86" s="29" t="n"/>
      <c r="AG86" s="29" t="n"/>
      <c r="AH86" s="29" t="n"/>
      <c r="AI86" s="29" t="n"/>
      <c r="AJ86" s="5">
        <f>SUM(E86:AI86)</f>
        <v/>
      </c>
      <c r="AK86" s="5">
        <f>AJ86*D86</f>
        <v/>
      </c>
    </row>
    <row r="87" ht="25" customHeight="1">
      <c r="A87" s="111" t="inlineStr">
        <is>
          <t>3. ตรวจสอบจำนวน 21 - 30 ราย</t>
        </is>
      </c>
      <c r="B87" s="86" t="inlineStr">
        <is>
          <t>เดือน</t>
        </is>
      </c>
      <c r="C87" s="73" t="inlineStr">
        <is>
          <t>เหมา</t>
        </is>
      </c>
      <c r="D87" s="327" t="n">
        <v>400</v>
      </c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  <c r="AA87" s="29" t="n"/>
      <c r="AB87" s="29" t="n"/>
      <c r="AC87" s="29" t="n"/>
      <c r="AD87" s="29" t="n"/>
      <c r="AE87" s="29" t="n"/>
      <c r="AF87" s="29" t="n"/>
      <c r="AG87" s="29" t="n"/>
      <c r="AH87" s="29" t="n"/>
      <c r="AI87" s="29" t="n"/>
      <c r="AJ87" s="5">
        <f>SUM(E87:AI87)</f>
        <v/>
      </c>
      <c r="AK87" s="5">
        <f>AJ87*D87</f>
        <v/>
      </c>
    </row>
    <row r="88" ht="25" customHeight="1">
      <c r="A88" s="111" t="inlineStr">
        <is>
          <t>4. ตรวจสอบจำนวน 31 - 40 ราย</t>
        </is>
      </c>
      <c r="B88" s="86" t="inlineStr">
        <is>
          <t>เดือน</t>
        </is>
      </c>
      <c r="C88" s="73" t="inlineStr">
        <is>
          <t>เหมา</t>
        </is>
      </c>
      <c r="D88" s="327" t="n">
        <v>500</v>
      </c>
      <c r="E88" s="29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  <c r="AA88" s="29" t="n"/>
      <c r="AB88" s="29" t="n"/>
      <c r="AC88" s="29" t="n"/>
      <c r="AD88" s="29" t="n"/>
      <c r="AE88" s="29" t="n"/>
      <c r="AF88" s="29" t="n"/>
      <c r="AG88" s="29" t="n"/>
      <c r="AH88" s="29" t="n"/>
      <c r="AI88" s="29" t="n"/>
      <c r="AJ88" s="5">
        <f>SUM(E88:AI88)</f>
        <v/>
      </c>
      <c r="AK88" s="5">
        <f>AJ88*D88</f>
        <v/>
      </c>
    </row>
    <row r="89" ht="25" customHeight="1">
      <c r="A89" s="111" t="inlineStr">
        <is>
          <t>5. ตรวจสอบจำนวน 41 - 50 ราย</t>
        </is>
      </c>
      <c r="B89" s="86" t="inlineStr">
        <is>
          <t>เดือน</t>
        </is>
      </c>
      <c r="C89" s="73" t="inlineStr">
        <is>
          <t>เหมา</t>
        </is>
      </c>
      <c r="D89" s="327" t="n">
        <v>600</v>
      </c>
      <c r="E89" s="29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  <c r="AA89" s="29" t="n"/>
      <c r="AB89" s="29" t="n"/>
      <c r="AC89" s="29" t="n"/>
      <c r="AD89" s="29" t="n"/>
      <c r="AE89" s="29" t="n"/>
      <c r="AF89" s="29" t="n"/>
      <c r="AG89" s="29" t="n"/>
      <c r="AH89" s="29" t="n"/>
      <c r="AI89" s="29" t="n"/>
      <c r="AJ89" s="5">
        <f>SUM(E89:AI89)</f>
        <v/>
      </c>
      <c r="AK89" s="5">
        <f>AJ89*D89</f>
        <v/>
      </c>
    </row>
    <row r="90" ht="25" customHeight="1">
      <c r="A90" s="111" t="inlineStr">
        <is>
          <t>6. ตรวจสอบจำนวนมากกว่า 50 ราย</t>
        </is>
      </c>
      <c r="B90" s="60" t="inlineStr">
        <is>
          <t>เดือน</t>
        </is>
      </c>
      <c r="C90" s="61" t="inlineStr">
        <is>
          <t>เหมา</t>
        </is>
      </c>
      <c r="D90" s="329" t="n">
        <v>800</v>
      </c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n"/>
      <c r="Y90" s="32" t="n"/>
      <c r="Z90" s="32" t="n"/>
      <c r="AA90" s="32" t="n"/>
      <c r="AB90" s="32" t="n"/>
      <c r="AC90" s="32" t="n"/>
      <c r="AD90" s="32" t="n"/>
      <c r="AE90" s="32" t="n"/>
      <c r="AF90" s="32" t="n"/>
      <c r="AG90" s="32" t="n"/>
      <c r="AH90" s="32" t="n"/>
      <c r="AI90" s="32" t="n"/>
      <c r="AJ90" s="33">
        <f>SUM(E90:AI90)</f>
        <v/>
      </c>
      <c r="AK90" s="33">
        <f>AJ90*D90</f>
        <v/>
      </c>
    </row>
    <row r="91" ht="25" customHeight="1">
      <c r="A91" s="453" t="inlineStr">
        <is>
          <t>การฝึกระเบียบแถว</t>
        </is>
      </c>
      <c r="B91" s="113" t="n"/>
      <c r="C91" s="114" t="n"/>
      <c r="D91" s="117" t="n"/>
      <c r="E91" s="693" t="n"/>
      <c r="F91" s="693" t="n"/>
      <c r="G91" s="693" t="n"/>
      <c r="H91" s="693" t="n"/>
      <c r="I91" s="693" t="n"/>
      <c r="J91" s="693" t="n"/>
      <c r="K91" s="693" t="n"/>
      <c r="L91" s="693" t="n"/>
      <c r="M91" s="693" t="n"/>
      <c r="N91" s="693" t="n"/>
      <c r="O91" s="693" t="n"/>
      <c r="P91" s="693" t="n"/>
      <c r="Q91" s="693" t="n"/>
      <c r="R91" s="693" t="n"/>
      <c r="S91" s="693" t="n"/>
      <c r="T91" s="693" t="n"/>
      <c r="U91" s="693" t="n"/>
      <c r="V91" s="693" t="n"/>
      <c r="W91" s="693" t="n"/>
      <c r="X91" s="693" t="n"/>
      <c r="Y91" s="693" t="n"/>
      <c r="Z91" s="693" t="n"/>
      <c r="AA91" s="693" t="n"/>
      <c r="AB91" s="693" t="n"/>
      <c r="AC91" s="693" t="n"/>
      <c r="AD91" s="693" t="n"/>
      <c r="AE91" s="693" t="n"/>
      <c r="AF91" s="693" t="n"/>
      <c r="AG91" s="693" t="n"/>
      <c r="AH91" s="693" t="n"/>
      <c r="AI91" s="693" t="n"/>
      <c r="AJ91" s="45" t="n"/>
      <c r="AK91" s="46" t="n"/>
    </row>
    <row r="92" ht="25" customHeight="1">
      <c r="A92" s="16" t="inlineStr">
        <is>
          <t>1. แถวประจำสัปดาห์/เดือน</t>
        </is>
      </c>
      <c r="B92" s="47" t="inlineStr">
        <is>
          <t>ครั้ง</t>
        </is>
      </c>
      <c r="C92" s="118" t="inlineStr">
        <is>
          <t>เหมา</t>
        </is>
      </c>
      <c r="D92" s="330" t="n">
        <v>4.29</v>
      </c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  <c r="AA92" s="49" t="n"/>
      <c r="AB92" s="49" t="n"/>
      <c r="AC92" s="49" t="n"/>
      <c r="AD92" s="49" t="n"/>
      <c r="AE92" s="49" t="n"/>
      <c r="AF92" s="49" t="n"/>
      <c r="AG92" s="49" t="n"/>
      <c r="AH92" s="49" t="n"/>
      <c r="AI92" s="49" t="n"/>
      <c r="AJ92" s="50">
        <f>SUM(E92:AI92)</f>
        <v/>
      </c>
      <c r="AK92" s="50">
        <f>AJ92*D92</f>
        <v/>
      </c>
    </row>
    <row r="93" ht="25" customHeight="1">
      <c r="A93" s="16" t="inlineStr">
        <is>
          <t>2. ส่งแถวประจำสัปดาห์/เดือน</t>
        </is>
      </c>
      <c r="B93" s="30" t="inlineStr">
        <is>
          <t>ครั้ง</t>
        </is>
      </c>
      <c r="C93" s="119" t="inlineStr">
        <is>
          <t>เหมา</t>
        </is>
      </c>
      <c r="D93" s="724" t="n">
        <v>10</v>
      </c>
      <c r="E93" s="32" t="n"/>
      <c r="F93" s="32" t="n"/>
      <c r="G93" s="32" t="n"/>
      <c r="H93" s="32" t="n"/>
      <c r="I93" s="32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2" t="n"/>
      <c r="V93" s="32" t="n"/>
      <c r="W93" s="32" t="n"/>
      <c r="X93" s="32" t="n"/>
      <c r="Y93" s="32" t="n"/>
      <c r="Z93" s="32" t="n"/>
      <c r="AA93" s="32" t="n"/>
      <c r="AB93" s="32" t="n"/>
      <c r="AC93" s="32" t="n"/>
      <c r="AD93" s="32" t="n"/>
      <c r="AE93" s="32" t="n"/>
      <c r="AF93" s="32" t="n"/>
      <c r="AG93" s="32" t="n"/>
      <c r="AH93" s="32" t="n"/>
      <c r="AI93" s="32" t="n"/>
      <c r="AJ93" s="33">
        <f>SUM(E93:AI93)</f>
        <v/>
      </c>
      <c r="AK93" s="33">
        <f>AJ93*D93</f>
        <v/>
      </c>
    </row>
    <row r="94" ht="25" customHeight="1">
      <c r="A94" s="449" t="inlineStr">
        <is>
          <t>การบริหารจัดการในหน่วยงาน</t>
        </is>
      </c>
      <c r="B94" s="41" t="n"/>
      <c r="C94" s="43" t="n"/>
      <c r="D94" s="53" t="n"/>
      <c r="E94" s="693" t="n"/>
      <c r="F94" s="693" t="n"/>
      <c r="G94" s="693" t="n"/>
      <c r="H94" s="693" t="n"/>
      <c r="I94" s="693" t="n"/>
      <c r="J94" s="693" t="n"/>
      <c r="K94" s="693" t="n"/>
      <c r="L94" s="693" t="n"/>
      <c r="M94" s="693" t="n"/>
      <c r="N94" s="693" t="n"/>
      <c r="O94" s="693" t="n"/>
      <c r="P94" s="693" t="n"/>
      <c r="Q94" s="693" t="n"/>
      <c r="R94" s="693" t="n"/>
      <c r="S94" s="693" t="n"/>
      <c r="T94" s="693" t="n"/>
      <c r="U94" s="693" t="n"/>
      <c r="V94" s="693" t="n"/>
      <c r="W94" s="693" t="n"/>
      <c r="X94" s="693" t="n"/>
      <c r="Y94" s="693" t="n"/>
      <c r="Z94" s="693" t="n"/>
      <c r="AA94" s="693" t="n"/>
      <c r="AB94" s="693" t="n"/>
      <c r="AC94" s="693" t="n"/>
      <c r="AD94" s="693" t="n"/>
      <c r="AE94" s="693" t="n"/>
      <c r="AF94" s="693" t="n"/>
      <c r="AG94" s="693" t="n"/>
      <c r="AH94" s="693" t="n"/>
      <c r="AI94" s="693" t="n"/>
      <c r="AJ94" s="45" t="n"/>
      <c r="AK94" s="46" t="n"/>
    </row>
    <row r="95" ht="25" customHeight="1">
      <c r="A95" s="69" t="inlineStr">
        <is>
          <t>1. จัดทำบัญชีความเสี่ยง หรือ Service Profile</t>
        </is>
      </c>
      <c r="B95" s="120" t="inlineStr">
        <is>
          <t>ครั้ง</t>
        </is>
      </c>
      <c r="C95" s="120" t="n">
        <v>60</v>
      </c>
      <c r="D95" s="311">
        <f>C95*0.143</f>
        <v/>
      </c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  <c r="AA95" s="49" t="n"/>
      <c r="AB95" s="49" t="n"/>
      <c r="AC95" s="49" t="n"/>
      <c r="AD95" s="49" t="n"/>
      <c r="AE95" s="49" t="n"/>
      <c r="AF95" s="49" t="n"/>
      <c r="AG95" s="49" t="n"/>
      <c r="AH95" s="49" t="n"/>
      <c r="AI95" s="49" t="n"/>
      <c r="AJ95" s="50">
        <f>SUM(E95:AI95)</f>
        <v/>
      </c>
      <c r="AK95" s="50">
        <f>AJ95*D95</f>
        <v/>
      </c>
    </row>
    <row r="96" ht="25" customHeight="1">
      <c r="A96" s="74" t="inlineStr">
        <is>
          <t>2.  มอบหมายงานประจำวัน</t>
        </is>
      </c>
      <c r="B96" s="72" t="inlineStr">
        <is>
          <t>วัน</t>
        </is>
      </c>
      <c r="C96" s="14" t="inlineStr">
        <is>
          <t>เหมา</t>
        </is>
      </c>
      <c r="D96" s="319" t="n">
        <v>30</v>
      </c>
      <c r="E96" s="29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  <c r="AA96" s="29" t="n"/>
      <c r="AB96" s="29" t="n"/>
      <c r="AC96" s="29" t="n"/>
      <c r="AD96" s="29" t="n"/>
      <c r="AE96" s="29" t="n"/>
      <c r="AF96" s="29" t="n"/>
      <c r="AG96" s="29" t="n"/>
      <c r="AH96" s="29" t="n"/>
      <c r="AI96" s="29" t="n"/>
      <c r="AJ96" s="5">
        <f>SUM(E96:AI96)</f>
        <v/>
      </c>
      <c r="AK96" s="5">
        <f>AJ96*D96</f>
        <v/>
      </c>
    </row>
    <row r="97" ht="25" customHeight="1">
      <c r="A97" s="69" t="inlineStr">
        <is>
          <t>3. ตรวจสอบใบลา</t>
        </is>
      </c>
      <c r="B97" s="14" t="inlineStr">
        <is>
          <t>ราย</t>
        </is>
      </c>
      <c r="C97" s="14" t="inlineStr">
        <is>
          <t>เหมา</t>
        </is>
      </c>
      <c r="D97" s="8" t="n">
        <v>1</v>
      </c>
      <c r="E97" s="29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  <c r="AA97" s="29" t="n"/>
      <c r="AB97" s="29" t="n"/>
      <c r="AC97" s="29" t="n"/>
      <c r="AD97" s="29" t="n"/>
      <c r="AE97" s="29" t="n"/>
      <c r="AF97" s="29" t="n"/>
      <c r="AG97" s="29" t="n"/>
      <c r="AH97" s="29" t="n"/>
      <c r="AI97" s="29" t="n"/>
      <c r="AJ97" s="5">
        <f>SUM(E97:AI97)</f>
        <v/>
      </c>
      <c r="AK97" s="5">
        <f>AJ97*D97</f>
        <v/>
      </c>
    </row>
    <row r="98" ht="25" customHeight="1">
      <c r="A98" s="74" t="inlineStr">
        <is>
          <t>4. สร้าง/ปรับแบบฟอร์ม</t>
        </is>
      </c>
      <c r="B98" s="121" t="inlineStr">
        <is>
          <t>แบบฟอร์ม</t>
        </is>
      </c>
      <c r="C98" s="72" t="inlineStr">
        <is>
          <t>เหมา</t>
        </is>
      </c>
      <c r="D98" s="332" t="n">
        <v>30</v>
      </c>
      <c r="E98" s="29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  <c r="AA98" s="29" t="n"/>
      <c r="AB98" s="29" t="n"/>
      <c r="AC98" s="29" t="n"/>
      <c r="AD98" s="29" t="n"/>
      <c r="AE98" s="29" t="n"/>
      <c r="AF98" s="29" t="n"/>
      <c r="AG98" s="29" t="n"/>
      <c r="AH98" s="29" t="n"/>
      <c r="AI98" s="29" t="n"/>
      <c r="AJ98" s="5">
        <f>SUM(E98:AI98)</f>
        <v/>
      </c>
      <c r="AK98" s="5">
        <f>AJ98*D98</f>
        <v/>
      </c>
    </row>
    <row r="99" ht="25" customHeight="1">
      <c r="A99" s="69" t="inlineStr">
        <is>
          <t>5. ร่วมทีมตรวจเยี่ยม/รับการตรวจ ( นิเทศ HA/QA/Risk/5ส ฯลฯ)</t>
        </is>
      </c>
      <c r="B99" s="14" t="inlineStr">
        <is>
          <t>ครั้ง</t>
        </is>
      </c>
      <c r="C99" s="14" t="inlineStr">
        <is>
          <t>เหมา</t>
        </is>
      </c>
      <c r="D99" s="56" t="n">
        <v>8.58</v>
      </c>
      <c r="E99" s="29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  <c r="AA99" s="29" t="n"/>
      <c r="AB99" s="29" t="n"/>
      <c r="AC99" s="29" t="n"/>
      <c r="AD99" s="29" t="n"/>
      <c r="AE99" s="29" t="n"/>
      <c r="AF99" s="29" t="n"/>
      <c r="AG99" s="29" t="n"/>
      <c r="AH99" s="29" t="n"/>
      <c r="AI99" s="29" t="n"/>
      <c r="AJ99" s="5">
        <f>SUM(E99:AI99)</f>
        <v/>
      </c>
      <c r="AK99" s="5">
        <f>AJ99*D99</f>
        <v/>
      </c>
    </row>
    <row r="100" ht="25" customHeight="1">
      <c r="A100" s="74" t="inlineStr">
        <is>
          <t>6. เขียนใบขออนุมัติ/ส่งซ่อม</t>
        </is>
      </c>
      <c r="B100" s="72" t="inlineStr">
        <is>
          <t>ชุด</t>
        </is>
      </c>
      <c r="C100" s="123" t="inlineStr">
        <is>
          <t>เหมา</t>
        </is>
      </c>
      <c r="D100" s="319" t="n">
        <v>1.43</v>
      </c>
      <c r="E100" s="29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  <c r="AA100" s="29" t="n"/>
      <c r="AB100" s="29" t="n"/>
      <c r="AC100" s="29" t="n"/>
      <c r="AD100" s="29" t="n"/>
      <c r="AE100" s="29" t="n"/>
      <c r="AF100" s="29" t="n"/>
      <c r="AG100" s="29" t="n"/>
      <c r="AH100" s="29" t="n"/>
      <c r="AI100" s="29" t="n"/>
      <c r="AJ100" s="5">
        <f>SUM(E100:AI100)</f>
        <v/>
      </c>
      <c r="AK100" s="5">
        <f>AJ100*D100</f>
        <v/>
      </c>
    </row>
    <row r="101" ht="50" customHeight="1">
      <c r="A101" s="124" t="inlineStr">
        <is>
          <t xml:space="preserve">7. บันทึกข้อความซ่อมอุปกรณ์/เครื่องมือแพทย์ /บันทึกข้อความต่าง ๆ </t>
        </is>
      </c>
      <c r="B101" s="86" t="inlineStr">
        <is>
          <t xml:space="preserve">ครั้ง </t>
        </is>
      </c>
      <c r="C101" s="73" t="inlineStr">
        <is>
          <t>เหมา</t>
        </is>
      </c>
      <c r="D101" s="319" t="n">
        <v>1.43</v>
      </c>
      <c r="E101" s="29" t="n"/>
      <c r="F101" s="29" t="n"/>
      <c r="G101" s="29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29" t="n"/>
      <c r="W101" s="29" t="n"/>
      <c r="X101" s="29" t="n"/>
      <c r="Y101" s="29" t="n"/>
      <c r="Z101" s="29" t="n"/>
      <c r="AA101" s="29" t="n"/>
      <c r="AB101" s="29" t="n"/>
      <c r="AC101" s="29" t="n"/>
      <c r="AD101" s="29" t="n"/>
      <c r="AE101" s="29" t="n"/>
      <c r="AF101" s="29" t="n"/>
      <c r="AG101" s="29" t="n"/>
      <c r="AH101" s="29" t="n"/>
      <c r="AI101" s="29" t="n"/>
      <c r="AJ101" s="5">
        <f>SUM(E101:AI101)</f>
        <v/>
      </c>
      <c r="AK101" s="5">
        <f>AJ101*D101</f>
        <v/>
      </c>
    </row>
    <row r="102" ht="25" customHeight="1">
      <c r="A102" s="16" t="inlineStr">
        <is>
          <t>8. Admin ระบบ SPPH personnel</t>
        </is>
      </c>
      <c r="B102" s="41" t="inlineStr">
        <is>
          <t>เดือน</t>
        </is>
      </c>
      <c r="C102" s="82" t="inlineStr">
        <is>
          <t>เหมา</t>
        </is>
      </c>
      <c r="D102" s="56" t="n">
        <v>20</v>
      </c>
      <c r="E102" s="29" t="n"/>
      <c r="F102" s="29" t="n"/>
      <c r="G102" s="29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29" t="n"/>
      <c r="W102" s="29" t="n"/>
      <c r="X102" s="29" t="n"/>
      <c r="Y102" s="29" t="n"/>
      <c r="Z102" s="29" t="n"/>
      <c r="AA102" s="29" t="n"/>
      <c r="AB102" s="29" t="n"/>
      <c r="AC102" s="29" t="n"/>
      <c r="AD102" s="29" t="n"/>
      <c r="AE102" s="29" t="n"/>
      <c r="AF102" s="29" t="n"/>
      <c r="AG102" s="29" t="n"/>
      <c r="AH102" s="29" t="n"/>
      <c r="AI102" s="29" t="n"/>
      <c r="AJ102" s="5">
        <f>SUM(E102:AI102)</f>
        <v/>
      </c>
      <c r="AK102" s="5">
        <f>AJ102*D102</f>
        <v/>
      </c>
    </row>
    <row r="103" ht="25" customHeight="1">
      <c r="A103" s="16" t="inlineStr">
        <is>
          <t>9. Admin ระบบ smart conference</t>
        </is>
      </c>
      <c r="B103" s="41" t="inlineStr">
        <is>
          <t>เดือน</t>
        </is>
      </c>
      <c r="C103" s="82" t="inlineStr">
        <is>
          <t>เหมา</t>
        </is>
      </c>
      <c r="D103" s="56" t="n">
        <v>20</v>
      </c>
      <c r="E103" s="29" t="n"/>
      <c r="F103" s="29" t="n"/>
      <c r="G103" s="29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29" t="n"/>
      <c r="W103" s="29" t="n"/>
      <c r="X103" s="29" t="n"/>
      <c r="Y103" s="29" t="n"/>
      <c r="Z103" s="29" t="n"/>
      <c r="AA103" s="29" t="n"/>
      <c r="AB103" s="29" t="n"/>
      <c r="AC103" s="29" t="n"/>
      <c r="AD103" s="29" t="n"/>
      <c r="AE103" s="29" t="n"/>
      <c r="AF103" s="29" t="n"/>
      <c r="AG103" s="29" t="n"/>
      <c r="AH103" s="29" t="n"/>
      <c r="AI103" s="29" t="n"/>
      <c r="AJ103" s="5">
        <f>SUM(E103:AI103)</f>
        <v/>
      </c>
      <c r="AK103" s="5">
        <f>AJ103*D103</f>
        <v/>
      </c>
    </row>
    <row r="104" ht="25" customHeight="1">
      <c r="A104" s="16" t="inlineStr">
        <is>
          <t>10. Admin ระบบ P4P</t>
        </is>
      </c>
      <c r="B104" s="41" t="inlineStr">
        <is>
          <t>เดือน</t>
        </is>
      </c>
      <c r="C104" s="82" t="inlineStr">
        <is>
          <t>เหมา</t>
        </is>
      </c>
      <c r="D104" s="56" t="n">
        <v>20</v>
      </c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29" t="n"/>
      <c r="Y104" s="29" t="n"/>
      <c r="Z104" s="29" t="n"/>
      <c r="AA104" s="29" t="n"/>
      <c r="AB104" s="29" t="n"/>
      <c r="AC104" s="29" t="n"/>
      <c r="AD104" s="29" t="n"/>
      <c r="AE104" s="29" t="n"/>
      <c r="AF104" s="29" t="n"/>
      <c r="AG104" s="29" t="n"/>
      <c r="AH104" s="29" t="n"/>
      <c r="AI104" s="29" t="n"/>
      <c r="AJ104" s="5">
        <f>SUM(E104:AI104)</f>
        <v/>
      </c>
      <c r="AK104" s="5">
        <f>AJ104*D104</f>
        <v/>
      </c>
    </row>
    <row r="105" ht="25" customHeight="1">
      <c r="A105" s="125" t="inlineStr">
        <is>
          <t>11. การตรวจสอบ ลงนามหนังสือทั่วไป / รายงานสถิติ</t>
        </is>
      </c>
      <c r="B105" s="126" t="inlineStr">
        <is>
          <t>ฉบับ</t>
        </is>
      </c>
      <c r="C105" s="127" t="n">
        <v>10</v>
      </c>
      <c r="D105" s="311">
        <f>C105*0.143</f>
        <v/>
      </c>
      <c r="E105" s="32" t="n"/>
      <c r="F105" s="32" t="n"/>
      <c r="G105" s="32" t="n"/>
      <c r="H105" s="32" t="n"/>
      <c r="I105" s="32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2" t="n"/>
      <c r="V105" s="32" t="n"/>
      <c r="W105" s="32" t="n"/>
      <c r="X105" s="32" t="n"/>
      <c r="Y105" s="32" t="n"/>
      <c r="Z105" s="32" t="n"/>
      <c r="AA105" s="32" t="n"/>
      <c r="AB105" s="32" t="n"/>
      <c r="AC105" s="32" t="n"/>
      <c r="AD105" s="32" t="n"/>
      <c r="AE105" s="32" t="n"/>
      <c r="AF105" s="32" t="n"/>
      <c r="AG105" s="32" t="n"/>
      <c r="AH105" s="32" t="n"/>
      <c r="AI105" s="32" t="n"/>
      <c r="AJ105" s="33">
        <f>SUM(E105:AI105)</f>
        <v/>
      </c>
      <c r="AK105" s="33">
        <f>AJ105*D105</f>
        <v/>
      </c>
    </row>
    <row r="106" ht="25" customHeight="1">
      <c r="A106" s="449" t="inlineStr">
        <is>
          <t>วิชาการ</t>
        </is>
      </c>
      <c r="B106" s="109" t="n"/>
      <c r="C106" s="110" t="n"/>
      <c r="D106" s="110" t="n"/>
      <c r="E106" s="693" t="n"/>
      <c r="F106" s="693" t="n"/>
      <c r="G106" s="693" t="n"/>
      <c r="H106" s="693" t="n"/>
      <c r="I106" s="693" t="n"/>
      <c r="J106" s="693" t="n"/>
      <c r="K106" s="693" t="n"/>
      <c r="L106" s="693" t="n"/>
      <c r="M106" s="693" t="n"/>
      <c r="N106" s="693" t="n"/>
      <c r="O106" s="693" t="n"/>
      <c r="P106" s="693" t="n"/>
      <c r="Q106" s="693" t="n"/>
      <c r="R106" s="693" t="n"/>
      <c r="S106" s="693" t="n"/>
      <c r="T106" s="693" t="n"/>
      <c r="U106" s="693" t="n"/>
      <c r="V106" s="693" t="n"/>
      <c r="W106" s="693" t="n"/>
      <c r="X106" s="693" t="n"/>
      <c r="Y106" s="693" t="n"/>
      <c r="Z106" s="693" t="n"/>
      <c r="AA106" s="693" t="n"/>
      <c r="AB106" s="693" t="n"/>
      <c r="AC106" s="693" t="n"/>
      <c r="AD106" s="693" t="n"/>
      <c r="AE106" s="693" t="n"/>
      <c r="AF106" s="693" t="n"/>
      <c r="AG106" s="693" t="n"/>
      <c r="AH106" s="693" t="n"/>
      <c r="AI106" s="693" t="n"/>
      <c r="AJ106" s="45" t="n"/>
      <c r="AK106" s="46" t="n"/>
    </row>
    <row r="107" ht="25" customHeight="1">
      <c r="A107" s="130" t="inlineStr">
        <is>
          <t>1. การนำเสนอผลงาน (มีเอกสารประกอบ)</t>
        </is>
      </c>
      <c r="B107" s="92" t="inlineStr">
        <is>
          <t xml:space="preserve">ครั้ง </t>
        </is>
      </c>
      <c r="C107" s="92" t="inlineStr">
        <is>
          <t>เหมา</t>
        </is>
      </c>
      <c r="D107" s="318" t="n">
        <v>30</v>
      </c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  <c r="AA107" s="49" t="n"/>
      <c r="AB107" s="49" t="n"/>
      <c r="AC107" s="49" t="n"/>
      <c r="AD107" s="49" t="n"/>
      <c r="AE107" s="49" t="n"/>
      <c r="AF107" s="49" t="n"/>
      <c r="AG107" s="49" t="n"/>
      <c r="AH107" s="49" t="n"/>
      <c r="AI107" s="49" t="n"/>
      <c r="AJ107" s="50">
        <f>SUM(E107:AI107)</f>
        <v/>
      </c>
      <c r="AK107" s="50">
        <f>AJ107*D107</f>
        <v/>
      </c>
    </row>
    <row r="108" ht="25" customHeight="1">
      <c r="A108" s="131" t="inlineStr">
        <is>
          <t>2. การจัดทำคู่มือ แผ่นพับ</t>
        </is>
      </c>
      <c r="B108" s="30" t="inlineStr">
        <is>
          <t>เรื่อง</t>
        </is>
      </c>
      <c r="C108" s="31" t="inlineStr">
        <is>
          <t>เหมา</t>
        </is>
      </c>
      <c r="D108" s="309" t="n">
        <v>60</v>
      </c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2" t="n"/>
      <c r="V108" s="32" t="n"/>
      <c r="W108" s="32" t="n"/>
      <c r="X108" s="32" t="n"/>
      <c r="Y108" s="32" t="n"/>
      <c r="Z108" s="32" t="n"/>
      <c r="AA108" s="32" t="n"/>
      <c r="AB108" s="32" t="n"/>
      <c r="AC108" s="32" t="n"/>
      <c r="AD108" s="32" t="n"/>
      <c r="AE108" s="32" t="n"/>
      <c r="AF108" s="32" t="n"/>
      <c r="AG108" s="32" t="n"/>
      <c r="AH108" s="32" t="n"/>
      <c r="AI108" s="32" t="n"/>
      <c r="AJ108" s="33">
        <f>SUM(E108:AI108)</f>
        <v/>
      </c>
      <c r="AK108" s="33">
        <f>AJ108*D108</f>
        <v/>
      </c>
    </row>
    <row r="109" ht="25" customHeight="1">
      <c r="A109" s="132" t="inlineStr">
        <is>
          <t>3. การทำวิจัย</t>
        </is>
      </c>
      <c r="B109" s="133" t="n"/>
      <c r="C109" s="134" t="n"/>
      <c r="D109" s="134" t="n"/>
      <c r="E109" s="693" t="n"/>
      <c r="F109" s="693" t="n"/>
      <c r="G109" s="693" t="n"/>
      <c r="H109" s="693" t="n"/>
      <c r="I109" s="693" t="n"/>
      <c r="J109" s="693" t="n"/>
      <c r="K109" s="693" t="n"/>
      <c r="L109" s="693" t="n"/>
      <c r="M109" s="693" t="n"/>
      <c r="N109" s="693" t="n"/>
      <c r="O109" s="693" t="n"/>
      <c r="P109" s="693" t="n"/>
      <c r="Q109" s="693" t="n"/>
      <c r="R109" s="693" t="n"/>
      <c r="S109" s="693" t="n"/>
      <c r="T109" s="693" t="n"/>
      <c r="U109" s="693" t="n"/>
      <c r="V109" s="693" t="n"/>
      <c r="W109" s="693" t="n"/>
      <c r="X109" s="693" t="n"/>
      <c r="Y109" s="693" t="n"/>
      <c r="Z109" s="693" t="n"/>
      <c r="AA109" s="693" t="n"/>
      <c r="AB109" s="693" t="n"/>
      <c r="AC109" s="693" t="n"/>
      <c r="AD109" s="693" t="n"/>
      <c r="AE109" s="693" t="n"/>
      <c r="AF109" s="693" t="n"/>
      <c r="AG109" s="693" t="n"/>
      <c r="AH109" s="693" t="n"/>
      <c r="AI109" s="693" t="n"/>
      <c r="AJ109" s="45" t="n"/>
      <c r="AK109" s="46" t="n"/>
    </row>
    <row r="110" ht="25" customHeight="1">
      <c r="A110" s="74" t="inlineStr">
        <is>
          <t xml:space="preserve">  3.1 ผ่านหัวข้อ  Ethics</t>
        </is>
      </c>
      <c r="B110" s="92" t="inlineStr">
        <is>
          <t>เรื่อง</t>
        </is>
      </c>
      <c r="C110" s="92" t="inlineStr">
        <is>
          <t>เหมา</t>
        </is>
      </c>
      <c r="D110" s="318" t="n">
        <v>200</v>
      </c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  <c r="AA110" s="49" t="n"/>
      <c r="AB110" s="49" t="n"/>
      <c r="AC110" s="49" t="n"/>
      <c r="AD110" s="49" t="n"/>
      <c r="AE110" s="49" t="n"/>
      <c r="AF110" s="49" t="n"/>
      <c r="AG110" s="49" t="n"/>
      <c r="AH110" s="49" t="n"/>
      <c r="AI110" s="49" t="n"/>
      <c r="AJ110" s="50">
        <f>SUM(E110:AI110)</f>
        <v/>
      </c>
      <c r="AK110" s="50">
        <f>AJ110*D110</f>
        <v/>
      </c>
    </row>
    <row r="111" ht="25" customHeight="1">
      <c r="A111" s="74" t="inlineStr">
        <is>
          <t xml:space="preserve">  3.2 ผ่านเก็บข้อมูล</t>
        </is>
      </c>
      <c r="B111" s="86" t="inlineStr">
        <is>
          <t>เรื่อง</t>
        </is>
      </c>
      <c r="C111" s="86" t="inlineStr">
        <is>
          <t>เหมา</t>
        </is>
      </c>
      <c r="D111" s="319" t="n">
        <v>200</v>
      </c>
      <c r="E111" s="29" t="n"/>
      <c r="F111" s="29" t="n"/>
      <c r="G111" s="29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29" t="n"/>
      <c r="W111" s="29" t="n"/>
      <c r="X111" s="29" t="n"/>
      <c r="Y111" s="29" t="n"/>
      <c r="Z111" s="29" t="n"/>
      <c r="AA111" s="29" t="n"/>
      <c r="AB111" s="29" t="n"/>
      <c r="AC111" s="29" t="n"/>
      <c r="AD111" s="29" t="n"/>
      <c r="AE111" s="29" t="n"/>
      <c r="AF111" s="29" t="n"/>
      <c r="AG111" s="29" t="n"/>
      <c r="AH111" s="29" t="n"/>
      <c r="AI111" s="29" t="n"/>
      <c r="AJ111" s="5">
        <f>SUM(E111:AI111)</f>
        <v/>
      </c>
      <c r="AK111" s="5">
        <f>AJ111*D111</f>
        <v/>
      </c>
    </row>
    <row r="112" ht="25" customHeight="1">
      <c r="A112" s="74" t="inlineStr">
        <is>
          <t xml:space="preserve">  3.3 ผ่านแปลผลและวิเคราะห์</t>
        </is>
      </c>
      <c r="B112" s="86" t="inlineStr">
        <is>
          <t>เรื่อง</t>
        </is>
      </c>
      <c r="C112" s="86" t="inlineStr">
        <is>
          <t>เหมา</t>
        </is>
      </c>
      <c r="D112" s="319" t="n">
        <v>200</v>
      </c>
      <c r="E112" s="29" t="n"/>
      <c r="F112" s="29" t="n"/>
      <c r="G112" s="29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29" t="n"/>
      <c r="W112" s="29" t="n"/>
      <c r="X112" s="29" t="n"/>
      <c r="Y112" s="29" t="n"/>
      <c r="Z112" s="29" t="n"/>
      <c r="AA112" s="29" t="n"/>
      <c r="AB112" s="29" t="n"/>
      <c r="AC112" s="29" t="n"/>
      <c r="AD112" s="29" t="n"/>
      <c r="AE112" s="29" t="n"/>
      <c r="AF112" s="29" t="n"/>
      <c r="AG112" s="29" t="n"/>
      <c r="AH112" s="29" t="n"/>
      <c r="AI112" s="29" t="n"/>
      <c r="AJ112" s="5">
        <f>SUM(E112:AI112)</f>
        <v/>
      </c>
      <c r="AK112" s="5">
        <f>AJ112*D112</f>
        <v/>
      </c>
    </row>
    <row r="113" ht="25" customHeight="1">
      <c r="A113" s="74" t="inlineStr">
        <is>
          <t xml:space="preserve">  3.4 Full text</t>
        </is>
      </c>
      <c r="B113" s="86" t="inlineStr">
        <is>
          <t>เรื่อง</t>
        </is>
      </c>
      <c r="C113" s="86" t="inlineStr">
        <is>
          <t>เหมา</t>
        </is>
      </c>
      <c r="D113" s="319" t="n">
        <v>300</v>
      </c>
      <c r="E113" s="29" t="n"/>
      <c r="F113" s="29" t="n"/>
      <c r="G113" s="29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9" t="n"/>
      <c r="Z113" s="29" t="n"/>
      <c r="AA113" s="29" t="n"/>
      <c r="AB113" s="29" t="n"/>
      <c r="AC113" s="29" t="n"/>
      <c r="AD113" s="29" t="n"/>
      <c r="AE113" s="29" t="n"/>
      <c r="AF113" s="29" t="n"/>
      <c r="AG113" s="29" t="n"/>
      <c r="AH113" s="29" t="n"/>
      <c r="AI113" s="29" t="n"/>
      <c r="AJ113" s="5">
        <f>SUM(E113:AI113)</f>
        <v/>
      </c>
      <c r="AK113" s="5">
        <f>AJ113*D113</f>
        <v/>
      </c>
    </row>
    <row r="114" ht="25" customHeight="1">
      <c r="A114" s="74" t="inlineStr">
        <is>
          <t xml:space="preserve">  3.5 ตีพิมพ์</t>
        </is>
      </c>
      <c r="B114" s="86" t="inlineStr">
        <is>
          <t>เรื่อง</t>
        </is>
      </c>
      <c r="C114" s="86" t="inlineStr">
        <is>
          <t>เหมา</t>
        </is>
      </c>
      <c r="D114" s="319" t="n">
        <v>500</v>
      </c>
      <c r="E114" s="29" t="n"/>
      <c r="F114" s="29" t="n"/>
      <c r="G114" s="29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29" t="n"/>
      <c r="W114" s="29" t="n"/>
      <c r="X114" s="29" t="n"/>
      <c r="Y114" s="29" t="n"/>
      <c r="Z114" s="29" t="n"/>
      <c r="AA114" s="29" t="n"/>
      <c r="AB114" s="29" t="n"/>
      <c r="AC114" s="29" t="n"/>
      <c r="AD114" s="29" t="n"/>
      <c r="AE114" s="29" t="n"/>
      <c r="AF114" s="29" t="n"/>
      <c r="AG114" s="29" t="n"/>
      <c r="AH114" s="29" t="n"/>
      <c r="AI114" s="29" t="n"/>
      <c r="AJ114" s="5">
        <f>SUM(E114:AI114)</f>
        <v/>
      </c>
      <c r="AK114" s="5">
        <f>AJ114*D114</f>
        <v/>
      </c>
    </row>
    <row r="115" ht="25" customHeight="1">
      <c r="A115" s="74" t="inlineStr">
        <is>
          <t>4. การทำเอกสารคุณภาพ/ CQI/ นวัตกรรม</t>
        </is>
      </c>
      <c r="B115" s="86" t="inlineStr">
        <is>
          <t>เรื่อง</t>
        </is>
      </c>
      <c r="C115" s="86" t="inlineStr">
        <is>
          <t>เหมา</t>
        </is>
      </c>
      <c r="D115" s="332" t="n">
        <v>60</v>
      </c>
      <c r="E115" s="29" t="n"/>
      <c r="F115" s="29" t="n"/>
      <c r="G115" s="29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29" t="n"/>
      <c r="W115" s="29" t="n"/>
      <c r="X115" s="29" t="n"/>
      <c r="Y115" s="29" t="n"/>
      <c r="Z115" s="29" t="n"/>
      <c r="AA115" s="29" t="n"/>
      <c r="AB115" s="29" t="n"/>
      <c r="AC115" s="29" t="n"/>
      <c r="AD115" s="29" t="n"/>
      <c r="AE115" s="29" t="n"/>
      <c r="AF115" s="29" t="n"/>
      <c r="AG115" s="29" t="n"/>
      <c r="AH115" s="29" t="n"/>
      <c r="AI115" s="29" t="n"/>
      <c r="AJ115" s="5">
        <f>SUM(E115:AI115)</f>
        <v/>
      </c>
      <c r="AK115" s="5">
        <f>AJ115*D115</f>
        <v/>
      </c>
    </row>
    <row r="116" ht="25" customHeight="1">
      <c r="A116" s="74" t="inlineStr">
        <is>
          <t xml:space="preserve">5. วิเคราะห์ + สรุปผลงานประจำปี </t>
        </is>
      </c>
      <c r="B116" s="72" t="inlineStr">
        <is>
          <t xml:space="preserve">ครั้ง </t>
        </is>
      </c>
      <c r="C116" s="86" t="inlineStr">
        <is>
          <t>เหมา</t>
        </is>
      </c>
      <c r="D116" s="319" t="n">
        <v>60.06</v>
      </c>
      <c r="E116" s="29" t="n"/>
      <c r="F116" s="29" t="n"/>
      <c r="G116" s="29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29" t="n"/>
      <c r="W116" s="29" t="n"/>
      <c r="X116" s="29" t="n"/>
      <c r="Y116" s="29" t="n"/>
      <c r="Z116" s="29" t="n"/>
      <c r="AA116" s="29" t="n"/>
      <c r="AB116" s="29" t="n"/>
      <c r="AC116" s="29" t="n"/>
      <c r="AD116" s="29" t="n"/>
      <c r="AE116" s="29" t="n"/>
      <c r="AF116" s="29" t="n"/>
      <c r="AG116" s="29" t="n"/>
      <c r="AH116" s="29" t="n"/>
      <c r="AI116" s="29" t="n"/>
      <c r="AJ116" s="5">
        <f>SUM(E116:AI116)</f>
        <v/>
      </c>
      <c r="AK116" s="5">
        <f>AJ116*D116</f>
        <v/>
      </c>
    </row>
    <row r="117" ht="25" customHeight="1">
      <c r="A117" s="74" t="inlineStr">
        <is>
          <t xml:space="preserve">6. Clinical teaching </t>
        </is>
      </c>
      <c r="B117" s="73" t="inlineStr">
        <is>
          <t xml:space="preserve">ครั้ง </t>
        </is>
      </c>
      <c r="C117" s="86" t="inlineStr">
        <is>
          <t>เหมา</t>
        </is>
      </c>
      <c r="D117" s="319" t="n">
        <v>8.58</v>
      </c>
      <c r="E117" s="29" t="n"/>
      <c r="F117" s="29" t="n"/>
      <c r="G117" s="29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29" t="n"/>
      <c r="W117" s="29" t="n"/>
      <c r="X117" s="29" t="n"/>
      <c r="Y117" s="29" t="n"/>
      <c r="Z117" s="29" t="n"/>
      <c r="AA117" s="29" t="n"/>
      <c r="AB117" s="29" t="n"/>
      <c r="AC117" s="29" t="n"/>
      <c r="AD117" s="29" t="n"/>
      <c r="AE117" s="29" t="n"/>
      <c r="AF117" s="29" t="n"/>
      <c r="AG117" s="29" t="n"/>
      <c r="AH117" s="29" t="n"/>
      <c r="AI117" s="29" t="n"/>
      <c r="AJ117" s="5">
        <f>SUM(E117:AI117)</f>
        <v/>
      </c>
      <c r="AK117" s="5">
        <f>AJ117*D117</f>
        <v/>
      </c>
    </row>
    <row r="118" ht="25" customHeight="1">
      <c r="A118" s="74" t="inlineStr">
        <is>
          <t>7. ให้คำแนะนำนิสิตแพทย์</t>
        </is>
      </c>
      <c r="B118" s="73" t="inlineStr">
        <is>
          <t xml:space="preserve">ครั้ง </t>
        </is>
      </c>
      <c r="C118" s="86" t="inlineStr">
        <is>
          <t>เหมา</t>
        </is>
      </c>
      <c r="D118" s="319" t="n">
        <v>2.86</v>
      </c>
      <c r="E118" s="29" t="n"/>
      <c r="F118" s="29" t="n"/>
      <c r="G118" s="29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29" t="n"/>
      <c r="W118" s="29" t="n"/>
      <c r="X118" s="29" t="n"/>
      <c r="Y118" s="29" t="n"/>
      <c r="Z118" s="29" t="n"/>
      <c r="AA118" s="29" t="n"/>
      <c r="AB118" s="29" t="n"/>
      <c r="AC118" s="29" t="n"/>
      <c r="AD118" s="29" t="n"/>
      <c r="AE118" s="29" t="n"/>
      <c r="AF118" s="29" t="n"/>
      <c r="AG118" s="29" t="n"/>
      <c r="AH118" s="29" t="n"/>
      <c r="AI118" s="29" t="n"/>
      <c r="AJ118" s="5">
        <f>SUM(E118:AI118)</f>
        <v/>
      </c>
      <c r="AK118" s="5">
        <f>AJ118*D118</f>
        <v/>
      </c>
    </row>
    <row r="119" ht="25" customHeight="1">
      <c r="A119" s="74" t="inlineStr">
        <is>
          <t>8. นิเทศนักศึกษา /รับผู้ศึกษาดูงาน/ Orientate</t>
        </is>
      </c>
      <c r="B119" s="73" t="inlineStr">
        <is>
          <t xml:space="preserve">ครั้ง </t>
        </is>
      </c>
      <c r="C119" s="86" t="inlineStr">
        <is>
          <t>เหมา</t>
        </is>
      </c>
      <c r="D119" s="319" t="n">
        <v>8.58</v>
      </c>
      <c r="E119" s="29" t="n"/>
      <c r="F119" s="29" t="n"/>
      <c r="G119" s="29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29" t="n"/>
      <c r="AA119" s="29" t="n"/>
      <c r="AB119" s="29" t="n"/>
      <c r="AC119" s="29" t="n"/>
      <c r="AD119" s="29" t="n"/>
      <c r="AE119" s="29" t="n"/>
      <c r="AF119" s="29" t="n"/>
      <c r="AG119" s="29" t="n"/>
      <c r="AH119" s="29" t="n"/>
      <c r="AI119" s="29" t="n"/>
      <c r="AJ119" s="5">
        <f>SUM(E119:AI119)</f>
        <v/>
      </c>
      <c r="AK119" s="5">
        <f>AJ119*D119</f>
        <v/>
      </c>
    </row>
    <row r="120" ht="25" customHeight="1">
      <c r="A120" s="74" t="inlineStr">
        <is>
          <t>9. รับผู้ศึกษาดูงาน (ตามที่ได้รับมอบหมาย)</t>
        </is>
      </c>
      <c r="B120" s="135" t="inlineStr">
        <is>
          <t xml:space="preserve">ครั้ง </t>
        </is>
      </c>
      <c r="C120" s="60" t="inlineStr">
        <is>
          <t>เหมา</t>
        </is>
      </c>
      <c r="D120" s="320" t="n">
        <v>8.58</v>
      </c>
      <c r="E120" s="32" t="n"/>
      <c r="F120" s="32" t="n"/>
      <c r="G120" s="32" t="n"/>
      <c r="H120" s="32" t="n"/>
      <c r="I120" s="32" t="n"/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2" t="n"/>
      <c r="V120" s="32" t="n"/>
      <c r="W120" s="32" t="n"/>
      <c r="X120" s="32" t="n"/>
      <c r="Y120" s="32" t="n"/>
      <c r="Z120" s="32" t="n"/>
      <c r="AA120" s="32" t="n"/>
      <c r="AB120" s="32" t="n"/>
      <c r="AC120" s="32" t="n"/>
      <c r="AD120" s="32" t="n"/>
      <c r="AE120" s="32" t="n"/>
      <c r="AF120" s="32" t="n"/>
      <c r="AG120" s="32" t="n"/>
      <c r="AH120" s="32" t="n"/>
      <c r="AI120" s="32" t="n"/>
      <c r="AJ120" s="33">
        <f>SUM(E120:AI120)</f>
        <v/>
      </c>
      <c r="AK120" s="33">
        <f>AJ120*D120</f>
        <v/>
      </c>
    </row>
    <row r="121" ht="25" customHeight="1">
      <c r="A121" s="136" t="inlineStr">
        <is>
          <t>10. เป็นวิทยากรใน / นอกโรงพยาบาล</t>
        </is>
      </c>
      <c r="B121" s="137" t="n"/>
      <c r="C121" s="138" t="n"/>
      <c r="D121" s="138" t="n"/>
      <c r="E121" s="693" t="n"/>
      <c r="F121" s="693" t="n"/>
      <c r="G121" s="693" t="n"/>
      <c r="H121" s="693" t="n"/>
      <c r="I121" s="693" t="n"/>
      <c r="J121" s="693" t="n"/>
      <c r="K121" s="693" t="n"/>
      <c r="L121" s="693" t="n"/>
      <c r="M121" s="693" t="n"/>
      <c r="N121" s="693" t="n"/>
      <c r="O121" s="693" t="n"/>
      <c r="P121" s="693" t="n"/>
      <c r="Q121" s="693" t="n"/>
      <c r="R121" s="693" t="n"/>
      <c r="S121" s="693" t="n"/>
      <c r="T121" s="693" t="n"/>
      <c r="U121" s="693" t="n"/>
      <c r="V121" s="693" t="n"/>
      <c r="W121" s="693" t="n"/>
      <c r="X121" s="693" t="n"/>
      <c r="Y121" s="693" t="n"/>
      <c r="Z121" s="693" t="n"/>
      <c r="AA121" s="693" t="n"/>
      <c r="AB121" s="693" t="n"/>
      <c r="AC121" s="693" t="n"/>
      <c r="AD121" s="693" t="n"/>
      <c r="AE121" s="693" t="n"/>
      <c r="AF121" s="693" t="n"/>
      <c r="AG121" s="693" t="n"/>
      <c r="AH121" s="693" t="n"/>
      <c r="AI121" s="693" t="n"/>
      <c r="AJ121" s="45" t="n"/>
      <c r="AK121" s="46" t="n"/>
    </row>
    <row r="122" ht="25" customHeight="1">
      <c r="A122" s="139" t="inlineStr">
        <is>
          <t xml:space="preserve">    -  วิทยากร </t>
        </is>
      </c>
      <c r="B122" s="47" t="inlineStr">
        <is>
          <t xml:space="preserve">ครั้ง </t>
        </is>
      </c>
      <c r="C122" s="48" t="inlineStr">
        <is>
          <t>เหมา</t>
        </is>
      </c>
      <c r="D122" s="326" t="n">
        <v>30</v>
      </c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  <c r="AA122" s="49" t="n"/>
      <c r="AB122" s="49" t="n"/>
      <c r="AC122" s="49" t="n"/>
      <c r="AD122" s="49" t="n"/>
      <c r="AE122" s="49" t="n"/>
      <c r="AF122" s="49" t="n"/>
      <c r="AG122" s="49" t="n"/>
      <c r="AH122" s="49" t="n"/>
      <c r="AI122" s="49" t="n"/>
      <c r="AJ122" s="50">
        <f>SUM(E122:AI122)</f>
        <v/>
      </c>
      <c r="AK122" s="50">
        <f>AJ122*D122</f>
        <v/>
      </c>
    </row>
    <row r="123" ht="25" customHeight="1">
      <c r="A123" s="139" t="inlineStr">
        <is>
          <t xml:space="preserve">    -  ผู้ช่วยวิทยากร </t>
        </is>
      </c>
      <c r="B123" s="27" t="inlineStr">
        <is>
          <t xml:space="preserve">ครั้ง </t>
        </is>
      </c>
      <c r="C123" s="28" t="inlineStr">
        <is>
          <t>เหมา</t>
        </is>
      </c>
      <c r="D123" s="327" t="n">
        <v>15</v>
      </c>
      <c r="E123" s="29" t="n"/>
      <c r="F123" s="29" t="n"/>
      <c r="G123" s="29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29" t="n"/>
      <c r="W123" s="29" t="n"/>
      <c r="X123" s="29" t="n"/>
      <c r="Y123" s="29" t="n"/>
      <c r="Z123" s="29" t="n"/>
      <c r="AA123" s="29" t="n"/>
      <c r="AB123" s="29" t="n"/>
      <c r="AC123" s="29" t="n"/>
      <c r="AD123" s="29" t="n"/>
      <c r="AE123" s="29" t="n"/>
      <c r="AF123" s="29" t="n"/>
      <c r="AG123" s="29" t="n"/>
      <c r="AH123" s="29" t="n"/>
      <c r="AI123" s="29" t="n"/>
      <c r="AJ123" s="5">
        <f>SUM(E123:AI123)</f>
        <v/>
      </c>
      <c r="AK123" s="5">
        <f>AJ123*D123</f>
        <v/>
      </c>
    </row>
    <row r="124" ht="25" customHeight="1">
      <c r="A124" s="139" t="inlineStr">
        <is>
          <t xml:space="preserve">   -  บรรยายวิชาการนอกหน่วยงาน</t>
        </is>
      </c>
      <c r="B124" s="27" t="inlineStr">
        <is>
          <t xml:space="preserve">ครั้ง </t>
        </is>
      </c>
      <c r="C124" s="28" t="inlineStr">
        <is>
          <t>เหมา</t>
        </is>
      </c>
      <c r="D124" s="327" t="n">
        <v>30</v>
      </c>
      <c r="E124" s="29" t="n"/>
      <c r="F124" s="29" t="n"/>
      <c r="G124" s="29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29" t="n"/>
      <c r="W124" s="29" t="n"/>
      <c r="X124" s="29" t="n"/>
      <c r="Y124" s="29" t="n"/>
      <c r="Z124" s="29" t="n"/>
      <c r="AA124" s="29" t="n"/>
      <c r="AB124" s="29" t="n"/>
      <c r="AC124" s="29" t="n"/>
      <c r="AD124" s="29" t="n"/>
      <c r="AE124" s="29" t="n"/>
      <c r="AF124" s="29" t="n"/>
      <c r="AG124" s="29" t="n"/>
      <c r="AH124" s="29" t="n"/>
      <c r="AI124" s="29" t="n"/>
      <c r="AJ124" s="5">
        <f>SUM(E124:AI124)</f>
        <v/>
      </c>
      <c r="AK124" s="5">
        <f>AJ124*D124</f>
        <v/>
      </c>
    </row>
    <row r="125" ht="25" customHeight="1">
      <c r="A125" s="139" t="inlineStr">
        <is>
          <t xml:space="preserve">   -  เป็นพิธีกร </t>
        </is>
      </c>
      <c r="B125" s="27" t="inlineStr">
        <is>
          <t xml:space="preserve">ครั้ง </t>
        </is>
      </c>
      <c r="C125" s="28" t="inlineStr">
        <is>
          <t>เหมา</t>
        </is>
      </c>
      <c r="D125" s="327" t="n">
        <v>30</v>
      </c>
      <c r="E125" s="29" t="n"/>
      <c r="F125" s="29" t="n"/>
      <c r="G125" s="29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29" t="n"/>
      <c r="W125" s="29" t="n"/>
      <c r="X125" s="29" t="n"/>
      <c r="Y125" s="29" t="n"/>
      <c r="Z125" s="29" t="n"/>
      <c r="AA125" s="29" t="n"/>
      <c r="AB125" s="29" t="n"/>
      <c r="AC125" s="29" t="n"/>
      <c r="AD125" s="29" t="n"/>
      <c r="AE125" s="29" t="n"/>
      <c r="AF125" s="29" t="n"/>
      <c r="AG125" s="29" t="n"/>
      <c r="AH125" s="29" t="n"/>
      <c r="AI125" s="29" t="n"/>
      <c r="AJ125" s="5">
        <f>SUM(E125:AI125)</f>
        <v/>
      </c>
      <c r="AK125" s="5">
        <f>AJ125*D125</f>
        <v/>
      </c>
    </row>
    <row r="126" ht="25" customHeight="1">
      <c r="A126" s="69" t="inlineStr">
        <is>
          <t>11. C3 THER / 12 กิจกรรม / AAR</t>
        </is>
      </c>
      <c r="B126" s="14" t="inlineStr">
        <is>
          <t>ครั้ง</t>
        </is>
      </c>
      <c r="C126" s="72" t="inlineStr">
        <is>
          <t>เหมา</t>
        </is>
      </c>
      <c r="D126" s="56" t="n">
        <v>8.58</v>
      </c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  <c r="AA126" s="29" t="n"/>
      <c r="AB126" s="29" t="n"/>
      <c r="AC126" s="29" t="n"/>
      <c r="AD126" s="29" t="n"/>
      <c r="AE126" s="29" t="n"/>
      <c r="AF126" s="29" t="n"/>
      <c r="AG126" s="29" t="n"/>
      <c r="AH126" s="29" t="n"/>
      <c r="AI126" s="29" t="n"/>
      <c r="AJ126" s="5">
        <f>SUM(E126:AI126)</f>
        <v/>
      </c>
      <c r="AK126" s="5">
        <f>AJ126*D126</f>
        <v/>
      </c>
    </row>
    <row r="127" ht="25" customHeight="1">
      <c r="A127" s="336" t="inlineStr">
        <is>
          <t>บริการ</t>
        </is>
      </c>
      <c r="B127" s="779" t="n"/>
      <c r="C127" s="774" t="n"/>
      <c r="D127" s="774" t="n"/>
      <c r="E127" s="774" t="n"/>
      <c r="F127" s="774" t="n"/>
      <c r="G127" s="774" t="n"/>
      <c r="H127" s="774" t="n"/>
      <c r="I127" s="774" t="n"/>
      <c r="J127" s="774" t="n"/>
      <c r="K127" s="774" t="n"/>
      <c r="L127" s="774" t="n"/>
      <c r="M127" s="774" t="n"/>
      <c r="N127" s="774" t="n"/>
      <c r="O127" s="774" t="n"/>
      <c r="P127" s="774" t="n"/>
      <c r="Q127" s="774" t="n"/>
      <c r="R127" s="774" t="n"/>
      <c r="S127" s="774" t="n"/>
      <c r="T127" s="774" t="n"/>
      <c r="U127" s="774" t="n"/>
      <c r="V127" s="774" t="n"/>
      <c r="W127" s="774" t="n"/>
      <c r="X127" s="774" t="n"/>
      <c r="Y127" s="774" t="n"/>
      <c r="Z127" s="774" t="n"/>
      <c r="AA127" s="774" t="n"/>
      <c r="AB127" s="774" t="n"/>
      <c r="AC127" s="774" t="n"/>
      <c r="AD127" s="774" t="n"/>
      <c r="AE127" s="774" t="n"/>
      <c r="AF127" s="774" t="n"/>
      <c r="AG127" s="774" t="n"/>
      <c r="AH127" s="774" t="n"/>
      <c r="AI127" s="774" t="n"/>
      <c r="AJ127" s="774" t="n"/>
      <c r="AK127" s="767" t="n"/>
    </row>
    <row r="128">
      <c r="A128" s="337" t="inlineStr">
        <is>
          <t>งานธุรการ</t>
        </is>
      </c>
      <c r="B128" s="132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  <c r="AA128" s="84" t="n"/>
      <c r="AB128" s="84" t="n"/>
      <c r="AC128" s="84" t="n"/>
      <c r="AD128" s="84" t="n"/>
      <c r="AE128" s="84" t="n"/>
      <c r="AF128" s="84" t="n"/>
      <c r="AG128" s="84" t="n"/>
      <c r="AH128" s="84" t="n"/>
      <c r="AI128" s="84" t="n"/>
      <c r="AJ128" s="84" t="n"/>
      <c r="AK128" s="340" t="n"/>
    </row>
    <row r="129">
      <c r="A129" s="341" t="inlineStr">
        <is>
          <t>1. ลงทะเบียนประชุม ตามที่ได้รับมอบหมาย</t>
        </is>
      </c>
      <c r="B129" s="342" t="inlineStr">
        <is>
          <t>ครั้ง</t>
        </is>
      </c>
      <c r="C129" s="343" t="n">
        <v>30</v>
      </c>
      <c r="D129" s="190">
        <f>C129*0.143</f>
        <v/>
      </c>
      <c r="E129" s="344" t="n"/>
      <c r="F129" s="344" t="n"/>
      <c r="G129" s="344" t="n"/>
      <c r="H129" s="344" t="n"/>
      <c r="I129" s="344" t="n"/>
      <c r="J129" s="344" t="n"/>
      <c r="K129" s="344" t="n"/>
      <c r="L129" s="344" t="n"/>
      <c r="M129" s="344" t="n"/>
      <c r="N129" s="344" t="n"/>
      <c r="O129" s="344" t="n"/>
      <c r="P129" s="344" t="n"/>
      <c r="Q129" s="344" t="n"/>
      <c r="R129" s="344" t="n"/>
      <c r="S129" s="344" t="n"/>
      <c r="T129" s="344" t="n"/>
      <c r="U129" s="344" t="n"/>
      <c r="V129" s="344" t="n"/>
      <c r="W129" s="344" t="n"/>
      <c r="X129" s="344" t="n"/>
      <c r="Y129" s="344" t="n"/>
      <c r="Z129" s="344" t="n"/>
      <c r="AA129" s="344" t="n"/>
      <c r="AB129" s="344" t="n"/>
      <c r="AC129" s="344" t="n"/>
      <c r="AD129" s="344" t="n"/>
      <c r="AE129" s="344" t="n"/>
      <c r="AF129" s="344" t="n"/>
      <c r="AG129" s="345" t="n"/>
      <c r="AH129" s="627" t="n"/>
      <c r="AI129" s="628" t="n"/>
      <c r="AJ129" s="173">
        <f>SUM(E129:AI129)</f>
        <v/>
      </c>
      <c r="AK129" s="173">
        <f>AJ129*D129</f>
        <v/>
      </c>
    </row>
    <row r="130">
      <c r="A130" s="346" t="inlineStr">
        <is>
          <t>2. การรับหนังสือ</t>
        </is>
      </c>
      <c r="B130" s="347" t="n"/>
      <c r="C130" s="348" t="n"/>
      <c r="D130" s="349" t="n"/>
      <c r="E130" s="350" t="n"/>
      <c r="F130" s="350" t="n"/>
      <c r="G130" s="350" t="n"/>
      <c r="H130" s="350" t="n"/>
      <c r="I130" s="350" t="n"/>
      <c r="J130" s="350" t="n"/>
      <c r="K130" s="350" t="n"/>
      <c r="L130" s="350" t="n"/>
      <c r="M130" s="350" t="n"/>
      <c r="N130" s="350" t="n"/>
      <c r="O130" s="350" t="n"/>
      <c r="P130" s="350" t="n"/>
      <c r="Q130" s="350" t="n"/>
      <c r="R130" s="350" t="n"/>
      <c r="S130" s="350" t="n"/>
      <c r="T130" s="350" t="n"/>
      <c r="U130" s="350" t="n"/>
      <c r="V130" s="350" t="n"/>
      <c r="W130" s="350" t="n"/>
      <c r="X130" s="350" t="n"/>
      <c r="Y130" s="350" t="n"/>
      <c r="Z130" s="350" t="n"/>
      <c r="AA130" s="350" t="n"/>
      <c r="AB130" s="350" t="n"/>
      <c r="AC130" s="350" t="n"/>
      <c r="AD130" s="350" t="n"/>
      <c r="AE130" s="350" t="n"/>
      <c r="AF130" s="350" t="n"/>
      <c r="AG130" s="147" t="n"/>
      <c r="AH130" s="147" t="n"/>
      <c r="AI130" s="629" t="n"/>
      <c r="AJ130" s="148" t="n"/>
      <c r="AK130" s="620" t="n"/>
    </row>
    <row r="131">
      <c r="A131" s="149" t="inlineStr">
        <is>
          <t>2.1 รับหนังสือภายในหน่วยงาน</t>
        </is>
      </c>
      <c r="B131" s="351" t="inlineStr">
        <is>
          <t>เรื่อง</t>
        </is>
      </c>
      <c r="C131" s="151" t="n">
        <v>3</v>
      </c>
      <c r="D131" s="152">
        <f>C131*0.143</f>
        <v/>
      </c>
      <c r="E131" s="150" t="n"/>
      <c r="F131" s="150" t="n"/>
      <c r="G131" s="150" t="n"/>
      <c r="H131" s="150" t="n"/>
      <c r="I131" s="150" t="n"/>
      <c r="J131" s="150" t="n"/>
      <c r="K131" s="150" t="n"/>
      <c r="L131" s="150" t="n"/>
      <c r="M131" s="150" t="n"/>
      <c r="N131" s="150" t="n"/>
      <c r="O131" s="150" t="n"/>
      <c r="P131" s="150" t="n"/>
      <c r="Q131" s="150" t="n"/>
      <c r="R131" s="150" t="n"/>
      <c r="S131" s="150" t="n"/>
      <c r="T131" s="150" t="n"/>
      <c r="U131" s="150" t="n"/>
      <c r="V131" s="150" t="n"/>
      <c r="W131" s="150" t="n"/>
      <c r="X131" s="150" t="n"/>
      <c r="Y131" s="150" t="n"/>
      <c r="Z131" s="150" t="n"/>
      <c r="AA131" s="150" t="n"/>
      <c r="AB131" s="150" t="n"/>
      <c r="AC131" s="150" t="n"/>
      <c r="AD131" s="150" t="n"/>
      <c r="AE131" s="150" t="n"/>
      <c r="AF131" s="150" t="n"/>
      <c r="AG131" s="153" t="n"/>
      <c r="AH131" s="627" t="n"/>
      <c r="AI131" s="630" t="n"/>
      <c r="AJ131" s="154">
        <f>SUM(E131:AI131)</f>
        <v/>
      </c>
      <c r="AK131" s="154">
        <f>AJ131*D131</f>
        <v/>
      </c>
    </row>
    <row r="132">
      <c r="A132" s="352" t="inlineStr">
        <is>
          <t>2.2 คัดแยกหนังสือ</t>
        </is>
      </c>
      <c r="B132" s="351" t="inlineStr">
        <is>
          <t>ฉบับ</t>
        </is>
      </c>
      <c r="C132" s="151" t="n">
        <v>3</v>
      </c>
      <c r="D132" s="152">
        <f>C132*0.143</f>
        <v/>
      </c>
      <c r="E132" s="150" t="n"/>
      <c r="F132" s="150" t="n"/>
      <c r="G132" s="150" t="n"/>
      <c r="H132" s="150" t="n"/>
      <c r="I132" s="150" t="n"/>
      <c r="J132" s="150" t="n"/>
      <c r="K132" s="150" t="n"/>
      <c r="L132" s="150" t="n"/>
      <c r="M132" s="150" t="n"/>
      <c r="N132" s="150" t="n"/>
      <c r="O132" s="150" t="n"/>
      <c r="P132" s="150" t="n"/>
      <c r="Q132" s="150" t="n"/>
      <c r="R132" s="150" t="n"/>
      <c r="S132" s="150" t="n"/>
      <c r="T132" s="150" t="n"/>
      <c r="U132" s="150" t="n"/>
      <c r="V132" s="150" t="n"/>
      <c r="W132" s="150" t="n"/>
      <c r="X132" s="150" t="n"/>
      <c r="Y132" s="150" t="n"/>
      <c r="Z132" s="150" t="n"/>
      <c r="AA132" s="150" t="n"/>
      <c r="AB132" s="150" t="n"/>
      <c r="AC132" s="150" t="n"/>
      <c r="AD132" s="150" t="n"/>
      <c r="AE132" s="150" t="n"/>
      <c r="AF132" s="150" t="n"/>
      <c r="AG132" s="153" t="n"/>
      <c r="AH132" s="627" t="n"/>
      <c r="AI132" s="631" t="n"/>
      <c r="AJ132" s="157">
        <f>SUM(E132:AI132)</f>
        <v/>
      </c>
      <c r="AK132" s="157">
        <f>AJ132*D132</f>
        <v/>
      </c>
    </row>
    <row r="133">
      <c r="A133" s="149" t="inlineStr">
        <is>
          <t>2.3 จัดแฟ้มเสนอ</t>
        </is>
      </c>
      <c r="B133" s="351" t="inlineStr">
        <is>
          <t>ฉบับ</t>
        </is>
      </c>
      <c r="C133" s="151" t="n">
        <v>3</v>
      </c>
      <c r="D133" s="152">
        <f>C133*0.143</f>
        <v/>
      </c>
      <c r="E133" s="150" t="n"/>
      <c r="F133" s="150" t="n"/>
      <c r="G133" s="150" t="n"/>
      <c r="H133" s="150" t="n"/>
      <c r="I133" s="150" t="n"/>
      <c r="J133" s="150" t="n"/>
      <c r="K133" s="150" t="n"/>
      <c r="L133" s="150" t="n"/>
      <c r="M133" s="150" t="n"/>
      <c r="N133" s="150" t="n"/>
      <c r="O133" s="150" t="n"/>
      <c r="P133" s="150" t="n"/>
      <c r="Q133" s="150" t="n"/>
      <c r="R133" s="150" t="n"/>
      <c r="S133" s="150" t="n"/>
      <c r="T133" s="150" t="n"/>
      <c r="U133" s="150" t="n"/>
      <c r="V133" s="150" t="n"/>
      <c r="W133" s="150" t="n"/>
      <c r="X133" s="150" t="n"/>
      <c r="Y133" s="150" t="n"/>
      <c r="Z133" s="150" t="n"/>
      <c r="AA133" s="150" t="n"/>
      <c r="AB133" s="150" t="n"/>
      <c r="AC133" s="150" t="n"/>
      <c r="AD133" s="150" t="n"/>
      <c r="AE133" s="150" t="n"/>
      <c r="AF133" s="150" t="n"/>
      <c r="AG133" s="153" t="n"/>
      <c r="AH133" s="627" t="n"/>
      <c r="AI133" s="631" t="n"/>
      <c r="AJ133" s="157">
        <f>SUM(E133:AI133)</f>
        <v/>
      </c>
      <c r="AK133" s="157">
        <f>AJ133*D133</f>
        <v/>
      </c>
    </row>
    <row r="134">
      <c r="A134" s="149" t="inlineStr">
        <is>
          <t>2.4 เกษียนหนังสือ/เวียนหนังสือ</t>
        </is>
      </c>
      <c r="B134" s="351" t="inlineStr">
        <is>
          <t>เรื่อง</t>
        </is>
      </c>
      <c r="C134" s="151" t="n">
        <v>3</v>
      </c>
      <c r="D134" s="152">
        <f>C134*0.143</f>
        <v/>
      </c>
      <c r="E134" s="150" t="n"/>
      <c r="F134" s="150" t="n"/>
      <c r="G134" s="150" t="n"/>
      <c r="H134" s="150" t="n"/>
      <c r="I134" s="150" t="n"/>
      <c r="J134" s="150" t="n"/>
      <c r="K134" s="150" t="n"/>
      <c r="L134" s="150" t="n"/>
      <c r="M134" s="150" t="n"/>
      <c r="N134" s="150" t="n"/>
      <c r="O134" s="150" t="n"/>
      <c r="P134" s="150" t="n"/>
      <c r="Q134" s="150" t="n"/>
      <c r="R134" s="150" t="n"/>
      <c r="S134" s="150" t="n"/>
      <c r="T134" s="150" t="n"/>
      <c r="U134" s="150" t="n"/>
      <c r="V134" s="150" t="n"/>
      <c r="W134" s="150" t="n"/>
      <c r="X134" s="150" t="n"/>
      <c r="Y134" s="150" t="n"/>
      <c r="Z134" s="150" t="n"/>
      <c r="AA134" s="150" t="n"/>
      <c r="AB134" s="150" t="n"/>
      <c r="AC134" s="150" t="n"/>
      <c r="AD134" s="150" t="n"/>
      <c r="AE134" s="150" t="n"/>
      <c r="AF134" s="150" t="n"/>
      <c r="AG134" s="153" t="n"/>
      <c r="AH134" s="627" t="n"/>
      <c r="AI134" s="631" t="n"/>
      <c r="AJ134" s="157">
        <f>SUM(E134:AI134)</f>
        <v/>
      </c>
      <c r="AK134" s="157">
        <f>AJ134*D134</f>
        <v/>
      </c>
    </row>
    <row r="135">
      <c r="A135" s="149" t="inlineStr">
        <is>
          <t>2.5 แจกจ่ายหนังสือ</t>
        </is>
      </c>
      <c r="B135" s="351" t="inlineStr">
        <is>
          <t>ฉบับ</t>
        </is>
      </c>
      <c r="C135" s="151" t="n">
        <v>3</v>
      </c>
      <c r="D135" s="152">
        <f>C135*0.143</f>
        <v/>
      </c>
      <c r="E135" s="150" t="n"/>
      <c r="F135" s="150" t="n"/>
      <c r="G135" s="150" t="n"/>
      <c r="H135" s="150" t="n"/>
      <c r="I135" s="150" t="n"/>
      <c r="J135" s="150" t="n"/>
      <c r="K135" s="150" t="n"/>
      <c r="L135" s="150" t="n"/>
      <c r="M135" s="150" t="n"/>
      <c r="N135" s="150" t="n"/>
      <c r="O135" s="150" t="n"/>
      <c r="P135" s="150" t="n"/>
      <c r="Q135" s="150" t="n"/>
      <c r="R135" s="150" t="n"/>
      <c r="S135" s="150" t="n"/>
      <c r="T135" s="150" t="n"/>
      <c r="U135" s="150" t="n"/>
      <c r="V135" s="150" t="n"/>
      <c r="W135" s="150" t="n"/>
      <c r="X135" s="150" t="n"/>
      <c r="Y135" s="150" t="n"/>
      <c r="Z135" s="150" t="n"/>
      <c r="AA135" s="150" t="n"/>
      <c r="AB135" s="150" t="n"/>
      <c r="AC135" s="150" t="n"/>
      <c r="AD135" s="150" t="n"/>
      <c r="AE135" s="150" t="n"/>
      <c r="AF135" s="150" t="n"/>
      <c r="AG135" s="153" t="n"/>
      <c r="AH135" s="627" t="n"/>
      <c r="AI135" s="631" t="n"/>
      <c r="AJ135" s="157">
        <f>SUM(E135:AI135)</f>
        <v/>
      </c>
      <c r="AK135" s="157">
        <f>AJ135*D135</f>
        <v/>
      </c>
    </row>
    <row r="136">
      <c r="A136" s="353" t="inlineStr">
        <is>
          <t>2.6 การจัดการใบลาต่าง ๆ (จนสิ้นสุดกระบวนการ)</t>
        </is>
      </c>
      <c r="B136" s="351" t="inlineStr">
        <is>
          <t>ฉบับ</t>
        </is>
      </c>
      <c r="C136" s="151" t="n">
        <v>3</v>
      </c>
      <c r="D136" s="152">
        <f>C136*0.143</f>
        <v/>
      </c>
      <c r="E136" s="150" t="n"/>
      <c r="F136" s="150" t="n"/>
      <c r="G136" s="150" t="n"/>
      <c r="H136" s="150" t="n"/>
      <c r="I136" s="150" t="n"/>
      <c r="J136" s="150" t="n"/>
      <c r="K136" s="150" t="n"/>
      <c r="L136" s="150" t="n"/>
      <c r="M136" s="150" t="n"/>
      <c r="N136" s="150" t="n"/>
      <c r="O136" s="150" t="n"/>
      <c r="P136" s="150" t="n"/>
      <c r="Q136" s="150" t="n"/>
      <c r="R136" s="150" t="n"/>
      <c r="S136" s="150" t="n"/>
      <c r="T136" s="632" t="n"/>
      <c r="U136" s="150" t="n"/>
      <c r="V136" s="150" t="n"/>
      <c r="W136" s="150" t="n"/>
      <c r="X136" s="150" t="n"/>
      <c r="Y136" s="150" t="n"/>
      <c r="Z136" s="150" t="n"/>
      <c r="AA136" s="150" t="n"/>
      <c r="AB136" s="150" t="n"/>
      <c r="AC136" s="150" t="n"/>
      <c r="AD136" s="150" t="n"/>
      <c r="AE136" s="150" t="n"/>
      <c r="AF136" s="150" t="n"/>
      <c r="AG136" s="153" t="n"/>
      <c r="AH136" s="627" t="n"/>
      <c r="AI136" s="628" t="n"/>
      <c r="AJ136" s="173">
        <f>SUM(E136:AI136)</f>
        <v/>
      </c>
      <c r="AK136" s="173">
        <f>AJ136*D136</f>
        <v/>
      </c>
    </row>
    <row r="137">
      <c r="A137" s="144" t="inlineStr">
        <is>
          <t>3. การส่งหนังสือ</t>
        </is>
      </c>
      <c r="B137" s="348" t="n"/>
      <c r="C137" s="348" t="n"/>
      <c r="D137" s="349" t="n"/>
      <c r="E137" s="350" t="n"/>
      <c r="F137" s="350" t="n"/>
      <c r="G137" s="350" t="n"/>
      <c r="H137" s="350" t="n"/>
      <c r="I137" s="350" t="n"/>
      <c r="J137" s="350" t="n"/>
      <c r="K137" s="350" t="n"/>
      <c r="L137" s="350" t="n"/>
      <c r="M137" s="350" t="n"/>
      <c r="N137" s="350" t="n"/>
      <c r="O137" s="350" t="n"/>
      <c r="P137" s="350" t="n"/>
      <c r="Q137" s="350" t="n"/>
      <c r="R137" s="350" t="n"/>
      <c r="S137" s="350" t="n"/>
      <c r="T137" s="350" t="n"/>
      <c r="U137" s="350" t="n"/>
      <c r="V137" s="350" t="n"/>
      <c r="W137" s="350" t="n"/>
      <c r="X137" s="350" t="n"/>
      <c r="Y137" s="350" t="n"/>
      <c r="Z137" s="350" t="n"/>
      <c r="AA137" s="350" t="n"/>
      <c r="AB137" s="350" t="n"/>
      <c r="AC137" s="350" t="n"/>
      <c r="AD137" s="350" t="n"/>
      <c r="AE137" s="350" t="n"/>
      <c r="AF137" s="350" t="n"/>
      <c r="AG137" s="147" t="n"/>
      <c r="AH137" s="147" t="n"/>
      <c r="AI137" s="629" t="n"/>
      <c r="AJ137" s="148" t="n"/>
      <c r="AK137" s="620" t="n"/>
    </row>
    <row r="138">
      <c r="A138" s="149" t="inlineStr">
        <is>
          <t>3.1 การขอออกเลขส่งหนังสือ</t>
        </is>
      </c>
      <c r="B138" s="150" t="inlineStr">
        <is>
          <t>ฉบับ</t>
        </is>
      </c>
      <c r="C138" s="151" t="n">
        <v>5</v>
      </c>
      <c r="D138" s="152">
        <f>C138*0.143</f>
        <v/>
      </c>
      <c r="E138" s="150" t="n"/>
      <c r="F138" s="150" t="n"/>
      <c r="G138" s="150" t="n"/>
      <c r="H138" s="150" t="n"/>
      <c r="I138" s="150" t="n"/>
      <c r="J138" s="150" t="n"/>
      <c r="K138" s="150" t="n"/>
      <c r="L138" s="150" t="n"/>
      <c r="M138" s="150" t="n"/>
      <c r="N138" s="150" t="n"/>
      <c r="O138" s="150" t="n"/>
      <c r="P138" s="150" t="n"/>
      <c r="Q138" s="150" t="n"/>
      <c r="R138" s="150" t="n"/>
      <c r="S138" s="150" t="n"/>
      <c r="T138" s="150" t="n"/>
      <c r="U138" s="150" t="n"/>
      <c r="V138" s="150" t="n"/>
      <c r="W138" s="150" t="n"/>
      <c r="X138" s="150" t="n"/>
      <c r="Y138" s="150" t="n"/>
      <c r="Z138" s="150" t="n"/>
      <c r="AA138" s="150" t="n"/>
      <c r="AB138" s="150" t="n"/>
      <c r="AC138" s="150" t="n"/>
      <c r="AD138" s="150" t="n"/>
      <c r="AE138" s="150" t="n"/>
      <c r="AF138" s="150" t="n"/>
      <c r="AG138" s="153" t="n"/>
      <c r="AH138" s="627" t="n"/>
      <c r="AI138" s="630" t="n"/>
      <c r="AJ138" s="154">
        <f>SUM(E138:AI138)</f>
        <v/>
      </c>
      <c r="AK138" s="154">
        <f>AJ138*D138</f>
        <v/>
      </c>
    </row>
    <row r="139">
      <c r="A139" s="149" t="inlineStr">
        <is>
          <t>3.2 การส่งหนังสือระหว่างหน่วยงานภายใน รพ.ฯ</t>
        </is>
      </c>
      <c r="B139" s="150" t="inlineStr">
        <is>
          <t>เรื่อง</t>
        </is>
      </c>
      <c r="C139" s="151" t="n">
        <v>10</v>
      </c>
      <c r="D139" s="193">
        <f>C139*0.143</f>
        <v/>
      </c>
      <c r="E139" s="150" t="n"/>
      <c r="F139" s="150" t="n"/>
      <c r="G139" s="150" t="n"/>
      <c r="H139" s="150" t="n"/>
      <c r="I139" s="150" t="n"/>
      <c r="J139" s="150" t="n"/>
      <c r="K139" s="150" t="n"/>
      <c r="L139" s="150" t="n"/>
      <c r="M139" s="150" t="n"/>
      <c r="N139" s="150" t="n"/>
      <c r="O139" s="150" t="n"/>
      <c r="P139" s="150" t="n"/>
      <c r="Q139" s="150" t="n"/>
      <c r="R139" s="150" t="n"/>
      <c r="S139" s="150" t="n"/>
      <c r="T139" s="150" t="n"/>
      <c r="U139" s="150" t="n"/>
      <c r="V139" s="150" t="n"/>
      <c r="W139" s="150" t="n"/>
      <c r="X139" s="150" t="n"/>
      <c r="Y139" s="150" t="n"/>
      <c r="Z139" s="150" t="n"/>
      <c r="AA139" s="150" t="n"/>
      <c r="AB139" s="150" t="n"/>
      <c r="AC139" s="150" t="n"/>
      <c r="AD139" s="150" t="n"/>
      <c r="AE139" s="150" t="n"/>
      <c r="AF139" s="150" t="n"/>
      <c r="AG139" s="153" t="n"/>
      <c r="AH139" s="627" t="n"/>
      <c r="AI139" s="631" t="n"/>
      <c r="AJ139" s="157">
        <f>SUM(E139:AI139)</f>
        <v/>
      </c>
      <c r="AK139" s="157">
        <f>AJ139*D139</f>
        <v/>
      </c>
    </row>
    <row r="140">
      <c r="A140" s="149" t="inlineStr">
        <is>
          <t>3.3 การส่งหนังสือระหว่างหน่วยงานภายนอก รพ.ฯ</t>
        </is>
      </c>
      <c r="B140" s="150" t="inlineStr">
        <is>
          <t>เรื่อง</t>
        </is>
      </c>
      <c r="C140" s="151" t="n">
        <v>20</v>
      </c>
      <c r="D140" s="193">
        <f>C140*0.143</f>
        <v/>
      </c>
      <c r="E140" s="150" t="n"/>
      <c r="F140" s="150" t="n"/>
      <c r="G140" s="150" t="n"/>
      <c r="H140" s="150" t="n"/>
      <c r="I140" s="150" t="n"/>
      <c r="J140" s="150" t="n"/>
      <c r="K140" s="150" t="n"/>
      <c r="L140" s="150" t="n"/>
      <c r="M140" s="150" t="n"/>
      <c r="N140" s="150" t="n"/>
      <c r="O140" s="150" t="n"/>
      <c r="P140" s="150" t="n"/>
      <c r="Q140" s="150" t="n"/>
      <c r="R140" s="150" t="n"/>
      <c r="S140" s="150" t="n"/>
      <c r="T140" s="150" t="n"/>
      <c r="U140" s="150" t="n"/>
      <c r="V140" s="150" t="n"/>
      <c r="W140" s="150" t="n"/>
      <c r="X140" s="150" t="n"/>
      <c r="Y140" s="150" t="n"/>
      <c r="Z140" s="150" t="n"/>
      <c r="AA140" s="150" t="n"/>
      <c r="AB140" s="150" t="n"/>
      <c r="AC140" s="150" t="n"/>
      <c r="AD140" s="150" t="n"/>
      <c r="AE140" s="150" t="n"/>
      <c r="AF140" s="150" t="n"/>
      <c r="AG140" s="153" t="n"/>
      <c r="AH140" s="627" t="n"/>
      <c r="AI140" s="628" t="n"/>
      <c r="AJ140" s="173">
        <f>SUM(E140:AI140)</f>
        <v/>
      </c>
      <c r="AK140" s="173">
        <f>AJ140*D140</f>
        <v/>
      </c>
    </row>
    <row r="141">
      <c r="A141" s="144" t="inlineStr">
        <is>
          <t>4. การพิมพ์หนังสือ</t>
        </is>
      </c>
      <c r="B141" s="348" t="n"/>
      <c r="C141" s="348" t="n"/>
      <c r="D141" s="349" t="n"/>
      <c r="E141" s="350" t="n"/>
      <c r="F141" s="350" t="n"/>
      <c r="G141" s="350" t="n"/>
      <c r="H141" s="350" t="n"/>
      <c r="I141" s="350" t="n"/>
      <c r="J141" s="350" t="n"/>
      <c r="K141" s="350" t="n"/>
      <c r="L141" s="350" t="n"/>
      <c r="M141" s="350" t="n"/>
      <c r="N141" s="350" t="n"/>
      <c r="O141" s="350" t="n"/>
      <c r="P141" s="350" t="n"/>
      <c r="Q141" s="350" t="n"/>
      <c r="R141" s="350" t="n"/>
      <c r="S141" s="350" t="n"/>
      <c r="T141" s="350" t="n"/>
      <c r="U141" s="350" t="n"/>
      <c r="V141" s="350" t="n"/>
      <c r="W141" s="350" t="n"/>
      <c r="X141" s="350" t="n"/>
      <c r="Y141" s="350" t="n"/>
      <c r="Z141" s="350" t="n"/>
      <c r="AA141" s="350" t="n"/>
      <c r="AB141" s="350" t="n"/>
      <c r="AC141" s="350" t="n"/>
      <c r="AD141" s="350" t="n"/>
      <c r="AE141" s="350" t="n"/>
      <c r="AF141" s="350" t="n"/>
      <c r="AG141" s="147" t="n"/>
      <c r="AH141" s="147" t="n"/>
      <c r="AI141" s="629" t="n"/>
      <c r="AJ141" s="148" t="n"/>
      <c r="AK141" s="620" t="n"/>
    </row>
    <row r="142">
      <c r="A142" s="149" t="inlineStr">
        <is>
          <t>4.1 หนังสือภายใน</t>
        </is>
      </c>
      <c r="B142" s="354" t="inlineStr">
        <is>
          <t>เรื่อง</t>
        </is>
      </c>
      <c r="C142" s="151" t="n">
        <v>20</v>
      </c>
      <c r="D142" s="152">
        <f>C142*0.143</f>
        <v/>
      </c>
      <c r="E142" s="150" t="n"/>
      <c r="F142" s="150" t="n"/>
      <c r="G142" s="150" t="n"/>
      <c r="H142" s="150" t="n"/>
      <c r="I142" s="150" t="n"/>
      <c r="J142" s="150" t="n"/>
      <c r="K142" s="150" t="n"/>
      <c r="L142" s="150" t="n"/>
      <c r="M142" s="150" t="n"/>
      <c r="N142" s="150" t="n"/>
      <c r="O142" s="150" t="n"/>
      <c r="P142" s="150" t="n"/>
      <c r="Q142" s="150" t="n"/>
      <c r="R142" s="150" t="n"/>
      <c r="S142" s="150" t="n"/>
      <c r="T142" s="150" t="n"/>
      <c r="U142" s="150" t="n"/>
      <c r="V142" s="150" t="n"/>
      <c r="W142" s="150" t="n"/>
      <c r="X142" s="150" t="n"/>
      <c r="Y142" s="150" t="n"/>
      <c r="Z142" s="150" t="n"/>
      <c r="AA142" s="150" t="n"/>
      <c r="AB142" s="150" t="n"/>
      <c r="AC142" s="150" t="n"/>
      <c r="AD142" s="150" t="n"/>
      <c r="AE142" s="150" t="n"/>
      <c r="AF142" s="150" t="n"/>
      <c r="AG142" s="153" t="n"/>
      <c r="AH142" s="627" t="n"/>
      <c r="AI142" s="630" t="n"/>
      <c r="AJ142" s="154">
        <f>SUM(E142:AI142)</f>
        <v/>
      </c>
      <c r="AK142" s="154">
        <f>AJ142*D142</f>
        <v/>
      </c>
    </row>
    <row r="143">
      <c r="A143" s="149" t="inlineStr">
        <is>
          <t>4.2 หนังสือภายนอก</t>
        </is>
      </c>
      <c r="B143" s="150" t="inlineStr">
        <is>
          <t>เรื่อง</t>
        </is>
      </c>
      <c r="C143" s="151" t="n">
        <v>25</v>
      </c>
      <c r="D143" s="152">
        <f>C143*0.143</f>
        <v/>
      </c>
      <c r="E143" s="150" t="n"/>
      <c r="F143" s="150" t="n"/>
      <c r="G143" s="150" t="n"/>
      <c r="H143" s="150" t="n"/>
      <c r="I143" s="150" t="n"/>
      <c r="J143" s="150" t="n"/>
      <c r="K143" s="150" t="n"/>
      <c r="L143" s="150" t="n"/>
      <c r="M143" s="150" t="n"/>
      <c r="N143" s="150" t="n"/>
      <c r="O143" s="150" t="n"/>
      <c r="P143" s="150" t="n"/>
      <c r="Q143" s="150" t="n"/>
      <c r="R143" s="150" t="n"/>
      <c r="S143" s="150" t="n"/>
      <c r="T143" s="150" t="n"/>
      <c r="U143" s="150" t="n"/>
      <c r="V143" s="150" t="n"/>
      <c r="W143" s="150" t="n"/>
      <c r="X143" s="150" t="n"/>
      <c r="Y143" s="150" t="n"/>
      <c r="Z143" s="150" t="n"/>
      <c r="AA143" s="150" t="n"/>
      <c r="AB143" s="150" t="n"/>
      <c r="AC143" s="150" t="n"/>
      <c r="AD143" s="150" t="n"/>
      <c r="AE143" s="150" t="n"/>
      <c r="AF143" s="150" t="n"/>
      <c r="AG143" s="153" t="n"/>
      <c r="AH143" s="627" t="n"/>
      <c r="AI143" s="631" t="n"/>
      <c r="AJ143" s="157">
        <f>SUM(E143:AI143)</f>
        <v/>
      </c>
      <c r="AK143" s="157">
        <f>AJ143*D143</f>
        <v/>
      </c>
    </row>
    <row r="144">
      <c r="A144" s="355" t="inlineStr">
        <is>
          <t>4.3 ระเบียบ</t>
        </is>
      </c>
      <c r="B144" s="150" t="inlineStr">
        <is>
          <t>เรื่อง</t>
        </is>
      </c>
      <c r="C144" s="151" t="n">
        <v>30</v>
      </c>
      <c r="D144" s="152">
        <f>C144*0.143</f>
        <v/>
      </c>
      <c r="E144" s="150" t="n"/>
      <c r="F144" s="150" t="n"/>
      <c r="G144" s="150" t="n"/>
      <c r="H144" s="150" t="n"/>
      <c r="I144" s="150" t="n"/>
      <c r="J144" s="150" t="n"/>
      <c r="K144" s="150" t="n"/>
      <c r="L144" s="150" t="n"/>
      <c r="M144" s="150" t="n"/>
      <c r="N144" s="150" t="n"/>
      <c r="O144" s="150" t="n"/>
      <c r="P144" s="150" t="n"/>
      <c r="Q144" s="150" t="n"/>
      <c r="R144" s="150" t="n"/>
      <c r="S144" s="150" t="n"/>
      <c r="T144" s="150" t="n"/>
      <c r="U144" s="150" t="n"/>
      <c r="V144" s="150" t="n"/>
      <c r="W144" s="150" t="n"/>
      <c r="X144" s="150" t="n"/>
      <c r="Y144" s="150" t="n"/>
      <c r="Z144" s="150" t="n"/>
      <c r="AA144" s="150" t="n"/>
      <c r="AB144" s="150" t="n"/>
      <c r="AC144" s="150" t="n"/>
      <c r="AD144" s="150" t="n"/>
      <c r="AE144" s="150" t="n"/>
      <c r="AF144" s="150" t="n"/>
      <c r="AG144" s="153" t="n"/>
      <c r="AH144" s="627" t="n"/>
      <c r="AI144" s="631" t="n"/>
      <c r="AJ144" s="157">
        <f>SUM(E144:AI144)</f>
        <v/>
      </c>
      <c r="AK144" s="157">
        <f>AJ144*D144</f>
        <v/>
      </c>
    </row>
    <row r="145">
      <c r="A145" s="355" t="inlineStr">
        <is>
          <t>4.4 คำสั่ง</t>
        </is>
      </c>
      <c r="B145" s="150" t="inlineStr">
        <is>
          <t>เรื่อง</t>
        </is>
      </c>
      <c r="C145" s="151" t="n">
        <v>15</v>
      </c>
      <c r="D145" s="152">
        <f>C145*0.143</f>
        <v/>
      </c>
      <c r="E145" s="150" t="n"/>
      <c r="F145" s="150" t="n"/>
      <c r="G145" s="150" t="n"/>
      <c r="H145" s="150" t="n"/>
      <c r="I145" s="150" t="n"/>
      <c r="J145" s="150" t="n"/>
      <c r="K145" s="150" t="n"/>
      <c r="L145" s="150" t="n"/>
      <c r="M145" s="150" t="n"/>
      <c r="N145" s="150" t="n"/>
      <c r="O145" s="150" t="n"/>
      <c r="P145" s="150" t="n"/>
      <c r="Q145" s="150" t="n"/>
      <c r="R145" s="150" t="n"/>
      <c r="S145" s="150" t="n"/>
      <c r="T145" s="150" t="n"/>
      <c r="U145" s="150" t="n"/>
      <c r="V145" s="150" t="n"/>
      <c r="W145" s="150" t="n"/>
      <c r="X145" s="150" t="n"/>
      <c r="Y145" s="150" t="n"/>
      <c r="Z145" s="150" t="n"/>
      <c r="AA145" s="150" t="n"/>
      <c r="AB145" s="150" t="n"/>
      <c r="AC145" s="150" t="n"/>
      <c r="AD145" s="150" t="n"/>
      <c r="AE145" s="150" t="n"/>
      <c r="AF145" s="150" t="n"/>
      <c r="AG145" s="153" t="n"/>
      <c r="AH145" s="627" t="n"/>
      <c r="AI145" s="631" t="n"/>
      <c r="AJ145" s="157">
        <f>SUM(E145:AI145)</f>
        <v/>
      </c>
      <c r="AK145" s="157">
        <f>AJ145*D145</f>
        <v/>
      </c>
    </row>
    <row r="146">
      <c r="A146" s="149" t="inlineStr">
        <is>
          <t>4.5 พิมพ์หนังสือตามแบบฟอร์ม</t>
        </is>
      </c>
      <c r="B146" s="150" t="inlineStr">
        <is>
          <t>เรื่อง</t>
        </is>
      </c>
      <c r="C146" s="151" t="n">
        <v>10</v>
      </c>
      <c r="D146" s="152">
        <f>C146*0.143</f>
        <v/>
      </c>
      <c r="E146" s="150" t="n"/>
      <c r="F146" s="150" t="n"/>
      <c r="G146" s="150" t="n"/>
      <c r="H146" s="150" t="n"/>
      <c r="I146" s="150" t="n"/>
      <c r="J146" s="150" t="n"/>
      <c r="K146" s="150" t="n"/>
      <c r="L146" s="150" t="n"/>
      <c r="M146" s="150" t="n"/>
      <c r="N146" s="150" t="n"/>
      <c r="O146" s="150" t="n"/>
      <c r="P146" s="150" t="n"/>
      <c r="Q146" s="150" t="n"/>
      <c r="R146" s="150" t="n"/>
      <c r="S146" s="150" t="n"/>
      <c r="T146" s="150" t="n"/>
      <c r="U146" s="150" t="n"/>
      <c r="V146" s="150" t="n"/>
      <c r="W146" s="150" t="n"/>
      <c r="X146" s="150" t="n"/>
      <c r="Y146" s="150" t="n"/>
      <c r="Z146" s="150" t="n"/>
      <c r="AA146" s="150" t="n"/>
      <c r="AB146" s="150" t="n"/>
      <c r="AC146" s="150" t="n"/>
      <c r="AD146" s="150" t="n"/>
      <c r="AE146" s="150" t="n"/>
      <c r="AF146" s="150" t="n"/>
      <c r="AG146" s="153" t="n"/>
      <c r="AH146" s="627" t="n"/>
      <c r="AI146" s="631" t="n"/>
      <c r="AJ146" s="157">
        <f>SUM(E146:AI146)</f>
        <v/>
      </c>
      <c r="AK146" s="157">
        <f>AJ146*D146</f>
        <v/>
      </c>
    </row>
    <row r="147">
      <c r="A147" s="355" t="inlineStr">
        <is>
          <t>4.6 หนังสือที่เจ้าหน้าที่จัดทำขึ้นฯ(หนังสือรับรอง บันทึก)</t>
        </is>
      </c>
      <c r="B147" s="150" t="inlineStr">
        <is>
          <t>เรื่อง</t>
        </is>
      </c>
      <c r="C147" s="151" t="n">
        <v>10</v>
      </c>
      <c r="D147" s="152">
        <f>C147*0.143</f>
        <v/>
      </c>
      <c r="E147" s="150" t="n"/>
      <c r="F147" s="150" t="n"/>
      <c r="G147" s="150" t="n"/>
      <c r="H147" s="150" t="n"/>
      <c r="I147" s="150" t="n"/>
      <c r="J147" s="150" t="n"/>
      <c r="K147" s="150" t="n"/>
      <c r="L147" s="150" t="n"/>
      <c r="M147" s="150" t="n"/>
      <c r="N147" s="150" t="n"/>
      <c r="O147" s="150" t="n"/>
      <c r="P147" s="150" t="n"/>
      <c r="Q147" s="150" t="n"/>
      <c r="R147" s="150" t="n"/>
      <c r="S147" s="150" t="n"/>
      <c r="T147" s="150" t="n"/>
      <c r="U147" s="150" t="n"/>
      <c r="V147" s="150" t="n"/>
      <c r="W147" s="150" t="n"/>
      <c r="X147" s="150" t="n"/>
      <c r="Y147" s="150" t="n"/>
      <c r="Z147" s="150" t="n"/>
      <c r="AA147" s="150" t="n"/>
      <c r="AB147" s="150" t="n"/>
      <c r="AC147" s="150" t="n"/>
      <c r="AD147" s="150" t="n"/>
      <c r="AE147" s="150" t="n"/>
      <c r="AF147" s="150" t="n"/>
      <c r="AG147" s="153" t="n"/>
      <c r="AH147" s="627" t="n"/>
      <c r="AI147" s="631" t="n"/>
      <c r="AJ147" s="157">
        <f>SUM(E147:AI147)</f>
        <v/>
      </c>
      <c r="AK147" s="157">
        <f>AJ147*D147</f>
        <v/>
      </c>
    </row>
    <row r="148">
      <c r="A148" s="356" t="inlineStr">
        <is>
          <t>4.7 พิมพ์ชื่อ-ที่อยู่ ซอง การ์ดต่างๆ</t>
        </is>
      </c>
      <c r="B148" s="354" t="inlineStr">
        <is>
          <t>ฉบับ</t>
        </is>
      </c>
      <c r="C148" s="151" t="n">
        <v>3</v>
      </c>
      <c r="D148" s="152">
        <f>C148*0.143</f>
        <v/>
      </c>
      <c r="E148" s="150" t="n"/>
      <c r="F148" s="150" t="n"/>
      <c r="G148" s="150" t="n"/>
      <c r="H148" s="150" t="n"/>
      <c r="I148" s="150" t="n"/>
      <c r="J148" s="150" t="n"/>
      <c r="K148" s="150" t="n"/>
      <c r="L148" s="150" t="n"/>
      <c r="M148" s="150" t="n"/>
      <c r="N148" s="150" t="n"/>
      <c r="O148" s="150" t="n"/>
      <c r="P148" s="150" t="n"/>
      <c r="Q148" s="150" t="n"/>
      <c r="R148" s="150" t="n"/>
      <c r="S148" s="150" t="n"/>
      <c r="T148" s="150" t="n"/>
      <c r="U148" s="150" t="n"/>
      <c r="V148" s="150" t="n"/>
      <c r="W148" s="150" t="n"/>
      <c r="X148" s="150" t="n"/>
      <c r="Y148" s="150" t="n"/>
      <c r="Z148" s="150" t="n"/>
      <c r="AA148" s="150" t="n"/>
      <c r="AB148" s="150" t="n"/>
      <c r="AC148" s="150" t="n"/>
      <c r="AD148" s="150" t="n"/>
      <c r="AE148" s="150" t="n"/>
      <c r="AF148" s="150" t="n"/>
      <c r="AG148" s="153" t="n"/>
      <c r="AH148" s="627" t="n"/>
      <c r="AI148" s="631" t="n"/>
      <c r="AJ148" s="157">
        <f>SUM(E148:AI148)</f>
        <v/>
      </c>
      <c r="AK148" s="157">
        <f>AJ148*D148</f>
        <v/>
      </c>
    </row>
    <row r="149">
      <c r="A149" s="357" t="inlineStr">
        <is>
          <t>4.8 ส่งไปรษณีย์ภายใน รพ.</t>
        </is>
      </c>
      <c r="B149" s="354" t="inlineStr">
        <is>
          <t>วัน</t>
        </is>
      </c>
      <c r="C149" s="151" t="n">
        <v>15</v>
      </c>
      <c r="D149" s="152">
        <f>C149*0.143</f>
        <v/>
      </c>
      <c r="E149" s="150" t="n"/>
      <c r="F149" s="150" t="n"/>
      <c r="G149" s="150" t="n"/>
      <c r="H149" s="150" t="n"/>
      <c r="I149" s="150" t="n"/>
      <c r="J149" s="150" t="n"/>
      <c r="K149" s="150" t="n"/>
      <c r="L149" s="150" t="n"/>
      <c r="M149" s="150" t="n"/>
      <c r="N149" s="150" t="n"/>
      <c r="O149" s="150" t="n"/>
      <c r="P149" s="150" t="n"/>
      <c r="Q149" s="150" t="n"/>
      <c r="R149" s="150" t="n"/>
      <c r="S149" s="150" t="n"/>
      <c r="T149" s="150" t="n"/>
      <c r="U149" s="150" t="n"/>
      <c r="V149" s="150" t="n"/>
      <c r="W149" s="150" t="n"/>
      <c r="X149" s="150" t="n"/>
      <c r="Y149" s="150" t="n"/>
      <c r="Z149" s="150" t="n"/>
      <c r="AA149" s="150" t="n"/>
      <c r="AB149" s="150" t="n"/>
      <c r="AC149" s="150" t="n"/>
      <c r="AD149" s="150" t="n"/>
      <c r="AE149" s="150" t="n"/>
      <c r="AF149" s="150" t="n"/>
      <c r="AG149" s="153" t="n"/>
      <c r="AH149" s="627" t="n"/>
      <c r="AI149" s="631" t="n"/>
      <c r="AJ149" s="157">
        <f>SUM(E149:AI149)</f>
        <v/>
      </c>
      <c r="AK149" s="157">
        <f>AJ149*D149</f>
        <v/>
      </c>
    </row>
    <row r="150">
      <c r="A150" s="357" t="inlineStr">
        <is>
          <t>4.9 ส่งไปรษณีย์นอก รพ.</t>
        </is>
      </c>
      <c r="B150" s="354" t="inlineStr">
        <is>
          <t>วัน</t>
        </is>
      </c>
      <c r="C150" s="151" t="n">
        <v>180</v>
      </c>
      <c r="D150" s="152">
        <f>C150*0.143</f>
        <v/>
      </c>
      <c r="E150" s="150" t="n"/>
      <c r="F150" s="150" t="n"/>
      <c r="G150" s="150" t="n"/>
      <c r="H150" s="150" t="n"/>
      <c r="I150" s="150" t="n"/>
      <c r="J150" s="150" t="n"/>
      <c r="K150" s="150" t="n"/>
      <c r="L150" s="150" t="n"/>
      <c r="M150" s="150" t="n"/>
      <c r="N150" s="150" t="n"/>
      <c r="O150" s="150" t="n"/>
      <c r="P150" s="150" t="n"/>
      <c r="Q150" s="150" t="n"/>
      <c r="R150" s="150" t="n"/>
      <c r="S150" s="150" t="n"/>
      <c r="T150" s="150" t="n"/>
      <c r="U150" s="150" t="n"/>
      <c r="V150" s="150" t="n"/>
      <c r="W150" s="150" t="n"/>
      <c r="X150" s="150" t="n"/>
      <c r="Y150" s="150" t="n"/>
      <c r="Z150" s="150" t="n"/>
      <c r="AA150" s="150" t="n"/>
      <c r="AB150" s="150" t="n"/>
      <c r="AC150" s="150" t="n"/>
      <c r="AD150" s="150" t="n"/>
      <c r="AE150" s="150" t="n"/>
      <c r="AF150" s="150" t="n"/>
      <c r="AG150" s="153" t="n"/>
      <c r="AH150" s="627" t="n"/>
      <c r="AI150" s="631" t="n"/>
      <c r="AJ150" s="157">
        <f>SUM(E150:AI150)</f>
        <v/>
      </c>
      <c r="AK150" s="157">
        <f>AJ150*D150</f>
        <v/>
      </c>
    </row>
    <row r="151">
      <c r="A151" s="358" t="inlineStr">
        <is>
          <t>5. การค้นหาหนังสือราชการ/เอกสารอื่น (เช่นใบเสร็จรับเงิน,ใบจำนง,หลักฐานการเงิน,หนังสือขอบคุณ)</t>
        </is>
      </c>
      <c r="B151" s="150" t="inlineStr">
        <is>
          <t>ฉบับ</t>
        </is>
      </c>
      <c r="C151" s="351" t="n">
        <v>5</v>
      </c>
      <c r="D151" s="152">
        <f>C151*0.143</f>
        <v/>
      </c>
      <c r="E151" s="150" t="n"/>
      <c r="F151" s="150" t="n"/>
      <c r="G151" s="150" t="n"/>
      <c r="H151" s="150" t="n"/>
      <c r="I151" s="150" t="n"/>
      <c r="J151" s="150" t="n"/>
      <c r="K151" s="150" t="n"/>
      <c r="L151" s="150" t="n"/>
      <c r="M151" s="150" t="n"/>
      <c r="N151" s="150" t="n"/>
      <c r="O151" s="150" t="n"/>
      <c r="P151" s="150" t="n"/>
      <c r="Q151" s="150" t="n"/>
      <c r="R151" s="150" t="n"/>
      <c r="S151" s="150" t="n"/>
      <c r="T151" s="150" t="n"/>
      <c r="U151" s="150" t="n"/>
      <c r="V151" s="150" t="n"/>
      <c r="W151" s="150" t="n"/>
      <c r="X151" s="150" t="n"/>
      <c r="Y151" s="150" t="n"/>
      <c r="Z151" s="150" t="n"/>
      <c r="AA151" s="150" t="n"/>
      <c r="AB151" s="150" t="n"/>
      <c r="AC151" s="150" t="n"/>
      <c r="AD151" s="150" t="n"/>
      <c r="AE151" s="150" t="n"/>
      <c r="AF151" s="150" t="n"/>
      <c r="AG151" s="153" t="n"/>
      <c r="AH151" s="627" t="n"/>
      <c r="AI151" s="631" t="n"/>
      <c r="AJ151" s="157">
        <f>SUM(E151:AI151)</f>
        <v/>
      </c>
      <c r="AK151" s="157">
        <f>AJ151*D151</f>
        <v/>
      </c>
    </row>
    <row r="152">
      <c r="A152" s="359" t="inlineStr">
        <is>
          <t>6. การถ่ายเอกสาร/การสำเนาเอกสาร</t>
        </is>
      </c>
      <c r="B152" s="150" t="inlineStr">
        <is>
          <t>เรื่อง</t>
        </is>
      </c>
      <c r="C152" s="151" t="n">
        <v>5</v>
      </c>
      <c r="D152" s="152">
        <f>C152*0.143</f>
        <v/>
      </c>
      <c r="E152" s="150" t="n"/>
      <c r="F152" s="150" t="n"/>
      <c r="G152" s="150" t="n"/>
      <c r="H152" s="150" t="n"/>
      <c r="I152" s="150" t="n"/>
      <c r="J152" s="150" t="n"/>
      <c r="K152" s="150" t="n"/>
      <c r="L152" s="150" t="n"/>
      <c r="M152" s="150" t="n"/>
      <c r="N152" s="150" t="n"/>
      <c r="O152" s="150" t="n"/>
      <c r="P152" s="150" t="n"/>
      <c r="Q152" s="150" t="n"/>
      <c r="R152" s="150" t="n"/>
      <c r="S152" s="150" t="n"/>
      <c r="T152" s="150" t="n"/>
      <c r="U152" s="150" t="n"/>
      <c r="V152" s="150" t="n"/>
      <c r="W152" s="150" t="n"/>
      <c r="X152" s="150" t="n"/>
      <c r="Y152" s="150" t="n"/>
      <c r="Z152" s="150" t="n"/>
      <c r="AA152" s="150" t="n"/>
      <c r="AB152" s="150" t="n"/>
      <c r="AC152" s="150" t="n"/>
      <c r="AD152" s="150" t="n"/>
      <c r="AE152" s="150" t="n"/>
      <c r="AF152" s="150" t="n"/>
      <c r="AG152" s="153" t="n"/>
      <c r="AH152" s="627" t="n"/>
      <c r="AI152" s="631" t="n"/>
      <c r="AJ152" s="157">
        <f>SUM(E152:AI152)</f>
        <v/>
      </c>
      <c r="AK152" s="157">
        <f>AJ152*D152</f>
        <v/>
      </c>
    </row>
    <row r="153">
      <c r="A153" s="359" t="inlineStr">
        <is>
          <t>7. การสแกนเอกสาร/ทำไฟล์แยกหมวดหมู่</t>
        </is>
      </c>
      <c r="B153" s="150" t="inlineStr">
        <is>
          <t>เรื่อง</t>
        </is>
      </c>
      <c r="C153" s="151" t="n">
        <v>5</v>
      </c>
      <c r="D153" s="152">
        <f>C153*0.143</f>
        <v/>
      </c>
      <c r="E153" s="150" t="n"/>
      <c r="F153" s="150" t="n"/>
      <c r="G153" s="150" t="n"/>
      <c r="H153" s="150" t="n"/>
      <c r="I153" s="150" t="n"/>
      <c r="J153" s="150" t="n"/>
      <c r="K153" s="150" t="n"/>
      <c r="L153" s="150" t="n"/>
      <c r="M153" s="150" t="n"/>
      <c r="N153" s="150" t="n"/>
      <c r="O153" s="150" t="n"/>
      <c r="P153" s="150" t="n"/>
      <c r="Q153" s="150" t="n"/>
      <c r="R153" s="150" t="n"/>
      <c r="S153" s="150" t="n"/>
      <c r="T153" s="150" t="n"/>
      <c r="U153" s="150" t="n"/>
      <c r="V153" s="150" t="n"/>
      <c r="W153" s="150" t="n"/>
      <c r="X153" s="150" t="n"/>
      <c r="Y153" s="150" t="n"/>
      <c r="Z153" s="150" t="n"/>
      <c r="AA153" s="150" t="n"/>
      <c r="AB153" s="150" t="n"/>
      <c r="AC153" s="150" t="n"/>
      <c r="AD153" s="150" t="n"/>
      <c r="AE153" s="150" t="n"/>
      <c r="AF153" s="150" t="n"/>
      <c r="AG153" s="153" t="n"/>
      <c r="AH153" s="627" t="n"/>
      <c r="AI153" s="631" t="n"/>
      <c r="AJ153" s="157">
        <f>SUM(E153:AI153)</f>
        <v/>
      </c>
      <c r="AK153" s="157">
        <f>AJ153*D153</f>
        <v/>
      </c>
    </row>
    <row r="154">
      <c r="A154" s="360" t="inlineStr">
        <is>
          <t>8. การขออนุมัติใช้ห้องประชุม</t>
        </is>
      </c>
      <c r="B154" s="150" t="inlineStr">
        <is>
          <t>ครั้ง</t>
        </is>
      </c>
      <c r="C154" s="151" t="n">
        <v>5</v>
      </c>
      <c r="D154" s="152">
        <f>C154*0.143</f>
        <v/>
      </c>
      <c r="E154" s="150" t="n"/>
      <c r="F154" s="150" t="n"/>
      <c r="G154" s="150" t="n"/>
      <c r="H154" s="150" t="n"/>
      <c r="I154" s="150" t="n"/>
      <c r="J154" s="150" t="n"/>
      <c r="K154" s="150" t="n"/>
      <c r="L154" s="150" t="n"/>
      <c r="M154" s="150" t="n"/>
      <c r="N154" s="150" t="n"/>
      <c r="O154" s="150" t="n"/>
      <c r="P154" s="150" t="n"/>
      <c r="Q154" s="150" t="n"/>
      <c r="R154" s="150" t="n"/>
      <c r="S154" s="150" t="n"/>
      <c r="T154" s="150" t="n"/>
      <c r="U154" s="150" t="n"/>
      <c r="V154" s="150" t="n"/>
      <c r="W154" s="150" t="n"/>
      <c r="X154" s="150" t="n"/>
      <c r="Y154" s="150" t="n"/>
      <c r="Z154" s="150" t="n"/>
      <c r="AA154" s="150" t="n"/>
      <c r="AB154" s="150" t="n"/>
      <c r="AC154" s="150" t="n"/>
      <c r="AD154" s="150" t="n"/>
      <c r="AE154" s="150" t="n"/>
      <c r="AF154" s="150" t="n"/>
      <c r="AG154" s="153" t="n"/>
      <c r="AH154" s="627" t="n"/>
      <c r="AI154" s="631" t="n"/>
      <c r="AJ154" s="157">
        <f>SUM(E154:AI154)</f>
        <v/>
      </c>
      <c r="AK154" s="157">
        <f>AJ154*D154</f>
        <v/>
      </c>
    </row>
    <row r="155">
      <c r="A155" s="360" t="inlineStr">
        <is>
          <t>9. การขอใช้รถยนต์ราชการ</t>
        </is>
      </c>
      <c r="B155" s="150" t="inlineStr">
        <is>
          <t>ครั้ง</t>
        </is>
      </c>
      <c r="C155" s="151" t="n">
        <v>5</v>
      </c>
      <c r="D155" s="152">
        <f>C155*0.143</f>
        <v/>
      </c>
      <c r="E155" s="150" t="n"/>
      <c r="F155" s="150" t="n"/>
      <c r="G155" s="150" t="n"/>
      <c r="H155" s="150" t="n"/>
      <c r="I155" s="150" t="n"/>
      <c r="J155" s="150" t="n"/>
      <c r="K155" s="150" t="n"/>
      <c r="L155" s="150" t="n"/>
      <c r="M155" s="150" t="n"/>
      <c r="N155" s="150" t="n"/>
      <c r="O155" s="150" t="n"/>
      <c r="P155" s="150" t="n"/>
      <c r="Q155" s="150" t="n"/>
      <c r="R155" s="150" t="n"/>
      <c r="S155" s="150" t="n"/>
      <c r="T155" s="150" t="n"/>
      <c r="U155" s="150" t="n"/>
      <c r="V155" s="150" t="n"/>
      <c r="W155" s="150" t="n"/>
      <c r="X155" s="150" t="n"/>
      <c r="Y155" s="150" t="n"/>
      <c r="Z155" s="150" t="n"/>
      <c r="AA155" s="150" t="n"/>
      <c r="AB155" s="150" t="n"/>
      <c r="AC155" s="150" t="n"/>
      <c r="AD155" s="150" t="n"/>
      <c r="AE155" s="150" t="n"/>
      <c r="AF155" s="150" t="n"/>
      <c r="AG155" s="153" t="n"/>
      <c r="AH155" s="627" t="n"/>
      <c r="AI155" s="631" t="n"/>
      <c r="AJ155" s="157">
        <f>SUM(E155:AI155)</f>
        <v/>
      </c>
      <c r="AK155" s="157">
        <f>AJ155*D155</f>
        <v/>
      </c>
    </row>
    <row r="156">
      <c r="A156" s="359" t="inlineStr">
        <is>
          <t>10. การจัดทำรายงานการประชุม(ไม่เกิน 5 วัน/รายงาน)</t>
        </is>
      </c>
      <c r="B156" s="361" t="inlineStr">
        <is>
          <t>เรื่อง</t>
        </is>
      </c>
      <c r="C156" s="151" t="n">
        <v>60</v>
      </c>
      <c r="D156" s="193">
        <f>C156*0.143</f>
        <v/>
      </c>
      <c r="E156" s="150" t="n"/>
      <c r="F156" s="150" t="n"/>
      <c r="G156" s="150" t="n"/>
      <c r="H156" s="150" t="n"/>
      <c r="I156" s="150" t="n"/>
      <c r="J156" s="150" t="n"/>
      <c r="K156" s="150" t="n"/>
      <c r="L156" s="150" t="n"/>
      <c r="M156" s="150" t="n"/>
      <c r="N156" s="150" t="n"/>
      <c r="O156" s="150" t="n"/>
      <c r="P156" s="150" t="n"/>
      <c r="Q156" s="150" t="n"/>
      <c r="R156" s="150" t="n"/>
      <c r="S156" s="150" t="n"/>
      <c r="T156" s="150" t="n"/>
      <c r="U156" s="150" t="n"/>
      <c r="V156" s="150" t="n"/>
      <c r="W156" s="150" t="n"/>
      <c r="X156" s="150" t="n"/>
      <c r="Y156" s="150" t="n"/>
      <c r="Z156" s="150" t="n"/>
      <c r="AA156" s="150" t="n"/>
      <c r="AB156" s="150" t="n"/>
      <c r="AC156" s="150" t="n"/>
      <c r="AD156" s="150" t="n"/>
      <c r="AE156" s="150" t="n"/>
      <c r="AF156" s="150" t="n"/>
      <c r="AG156" s="153" t="n"/>
      <c r="AH156" s="627" t="n"/>
      <c r="AI156" s="628" t="n"/>
      <c r="AJ156" s="173">
        <f>SUM(E156:AI156)</f>
        <v/>
      </c>
      <c r="AK156" s="173">
        <f>AJ156*D156</f>
        <v/>
      </c>
    </row>
    <row r="157">
      <c r="A157" s="144" t="inlineStr">
        <is>
          <t>11. การติดต่อประสานงาน</t>
        </is>
      </c>
      <c r="B157" s="145" t="n"/>
      <c r="C157" s="146" t="n"/>
      <c r="D157" s="633" t="n"/>
      <c r="E157" s="145" t="n"/>
      <c r="F157" s="145" t="n"/>
      <c r="G157" s="145" t="n"/>
      <c r="H157" s="145" t="n"/>
      <c r="I157" s="145" t="n"/>
      <c r="J157" s="145" t="n"/>
      <c r="K157" s="145" t="n"/>
      <c r="L157" s="145" t="n"/>
      <c r="M157" s="145" t="n"/>
      <c r="N157" s="145" t="n"/>
      <c r="O157" s="145" t="n"/>
      <c r="P157" s="145" t="n"/>
      <c r="Q157" s="145" t="n"/>
      <c r="R157" s="145" t="n"/>
      <c r="S157" s="145" t="n"/>
      <c r="T157" s="145" t="n"/>
      <c r="U157" s="145" t="n"/>
      <c r="V157" s="145" t="n"/>
      <c r="W157" s="145" t="n"/>
      <c r="X157" s="145" t="n"/>
      <c r="Y157" s="145" t="n"/>
      <c r="Z157" s="145" t="n"/>
      <c r="AA157" s="145" t="n"/>
      <c r="AB157" s="145" t="n"/>
      <c r="AC157" s="145" t="n"/>
      <c r="AD157" s="145" t="n"/>
      <c r="AE157" s="145" t="n"/>
      <c r="AF157" s="145" t="n"/>
      <c r="AG157" s="147" t="n"/>
      <c r="AH157" s="147" t="n"/>
      <c r="AI157" s="629" t="n"/>
      <c r="AJ157" s="148" t="n"/>
      <c r="AK157" s="620" t="n"/>
    </row>
    <row r="158">
      <c r="A158" s="149" t="inlineStr">
        <is>
          <t xml:space="preserve">11.1 การติดต่อประสานงานภายใน รพ.ฯ </t>
        </is>
      </c>
      <c r="B158" s="150" t="inlineStr">
        <is>
          <t>ครั้ง</t>
        </is>
      </c>
      <c r="C158" s="151" t="n">
        <v>10</v>
      </c>
      <c r="D158" s="193">
        <f>C158*0.143</f>
        <v/>
      </c>
      <c r="E158" s="150" t="n"/>
      <c r="F158" s="150" t="n"/>
      <c r="G158" s="150" t="n"/>
      <c r="H158" s="150" t="n"/>
      <c r="I158" s="150" t="n"/>
      <c r="J158" s="150" t="n"/>
      <c r="K158" s="150" t="n"/>
      <c r="L158" s="150" t="n"/>
      <c r="M158" s="150" t="n"/>
      <c r="N158" s="150" t="n"/>
      <c r="O158" s="150" t="n"/>
      <c r="P158" s="150" t="n"/>
      <c r="Q158" s="150" t="n"/>
      <c r="R158" s="150" t="n"/>
      <c r="S158" s="150" t="n"/>
      <c r="T158" s="150" t="n"/>
      <c r="U158" s="150" t="n"/>
      <c r="V158" s="150" t="n"/>
      <c r="W158" s="150" t="n"/>
      <c r="X158" s="150" t="n"/>
      <c r="Y158" s="150" t="n"/>
      <c r="Z158" s="150" t="n"/>
      <c r="AA158" s="150" t="n"/>
      <c r="AB158" s="150" t="n"/>
      <c r="AC158" s="150" t="n"/>
      <c r="AD158" s="150" t="n"/>
      <c r="AE158" s="150" t="n"/>
      <c r="AF158" s="150" t="n"/>
      <c r="AG158" s="153" t="n"/>
      <c r="AH158" s="627" t="n"/>
      <c r="AI158" s="630" t="n"/>
      <c r="AJ158" s="154">
        <f>SUM(E158:AI158)</f>
        <v/>
      </c>
      <c r="AK158" s="154">
        <f>AJ158*D158</f>
        <v/>
      </c>
    </row>
    <row r="159">
      <c r="A159" s="155" t="inlineStr">
        <is>
          <t>11.2 การติดต่อประสานงานภายนอก รพ.ฯ</t>
        </is>
      </c>
      <c r="B159" s="150" t="inlineStr">
        <is>
          <t>ครั้ง</t>
        </is>
      </c>
      <c r="C159" s="151" t="n">
        <v>15</v>
      </c>
      <c r="D159" s="152">
        <f>C159*0.143</f>
        <v/>
      </c>
      <c r="E159" s="156" t="n"/>
      <c r="F159" s="156" t="n"/>
      <c r="G159" s="156" t="n"/>
      <c r="H159" s="156" t="n"/>
      <c r="I159" s="156" t="n"/>
      <c r="J159" s="156" t="n"/>
      <c r="K159" s="156" t="n"/>
      <c r="L159" s="156" t="n"/>
      <c r="M159" s="156" t="n"/>
      <c r="N159" s="156" t="n"/>
      <c r="O159" s="156" t="n"/>
      <c r="P159" s="156" t="n"/>
      <c r="Q159" s="156" t="n"/>
      <c r="R159" s="156" t="n"/>
      <c r="S159" s="156" t="n"/>
      <c r="T159" s="156" t="n"/>
      <c r="U159" s="156" t="n"/>
      <c r="V159" s="156" t="n"/>
      <c r="W159" s="156" t="n"/>
      <c r="X159" s="156" t="n"/>
      <c r="Y159" s="156" t="n"/>
      <c r="Z159" s="156" t="n"/>
      <c r="AA159" s="156" t="n"/>
      <c r="AB159" s="156" t="n"/>
      <c r="AC159" s="156" t="n"/>
      <c r="AD159" s="156" t="n"/>
      <c r="AE159" s="156" t="n"/>
      <c r="AF159" s="156" t="n"/>
      <c r="AG159" s="153" t="n"/>
      <c r="AH159" s="627" t="n"/>
      <c r="AI159" s="631" t="n"/>
      <c r="AJ159" s="157">
        <f>SUM(E159:AI159)</f>
        <v/>
      </c>
      <c r="AK159" s="157">
        <f>AJ159*D159</f>
        <v/>
      </c>
    </row>
    <row r="160" ht="25" customHeight="1">
      <c r="A160" s="158" t="inlineStr">
        <is>
          <t>การดูแลรายวิชา</t>
        </is>
      </c>
      <c r="B160" s="159" t="n"/>
      <c r="C160" s="160" t="n"/>
      <c r="D160" s="160" t="n"/>
      <c r="E160" s="634" t="n"/>
      <c r="F160" s="634" t="n"/>
      <c r="G160" s="634" t="n"/>
      <c r="H160" s="634" t="n"/>
      <c r="I160" s="634" t="n"/>
      <c r="J160" s="634" t="n"/>
      <c r="K160" s="634" t="n"/>
      <c r="L160" s="634" t="n"/>
      <c r="M160" s="634" t="n"/>
      <c r="N160" s="634" t="n"/>
      <c r="O160" s="634" t="n"/>
      <c r="P160" s="634" t="n"/>
      <c r="Q160" s="634" t="n"/>
      <c r="R160" s="634" t="n"/>
      <c r="S160" s="634" t="n"/>
      <c r="T160" s="634" t="n"/>
      <c r="U160" s="634" t="n"/>
      <c r="V160" s="634" t="n"/>
      <c r="W160" s="634" t="n"/>
      <c r="X160" s="634" t="n"/>
      <c r="Y160" s="634" t="n"/>
      <c r="Z160" s="634" t="n"/>
      <c r="AA160" s="634" t="n"/>
      <c r="AB160" s="634" t="n"/>
      <c r="AC160" s="634" t="n"/>
      <c r="AD160" s="634" t="n"/>
      <c r="AE160" s="634" t="n"/>
      <c r="AF160" s="634" t="n"/>
      <c r="AG160" s="634" t="n"/>
      <c r="AH160" s="634" t="n"/>
      <c r="AI160" s="634" t="n"/>
      <c r="AJ160" s="148" t="n"/>
      <c r="AK160" s="620" t="n"/>
    </row>
    <row r="161" ht="25" customHeight="1">
      <c r="A161" s="162" t="inlineStr">
        <is>
          <t>1.จัดทำ มคอ. คู่มือ เอกสารในรายวิชา (ปีละ 1 ครั้ง)</t>
        </is>
      </c>
      <c r="B161" s="163" t="inlineStr">
        <is>
          <t>รายวิชา</t>
        </is>
      </c>
      <c r="C161" s="163" t="inlineStr">
        <is>
          <t>เหมา</t>
        </is>
      </c>
      <c r="D161" s="163" t="n">
        <v>300</v>
      </c>
      <c r="E161" s="364" t="n"/>
      <c r="F161" s="364" t="n"/>
      <c r="G161" s="364" t="n"/>
      <c r="H161" s="364" t="n"/>
      <c r="I161" s="364" t="n"/>
      <c r="J161" s="364" t="n"/>
      <c r="K161" s="364" t="n"/>
      <c r="L161" s="364" t="n"/>
      <c r="M161" s="364" t="n"/>
      <c r="N161" s="364" t="n"/>
      <c r="O161" s="364" t="n"/>
      <c r="P161" s="364" t="n"/>
      <c r="Q161" s="364" t="n"/>
      <c r="R161" s="364" t="n"/>
      <c r="S161" s="364" t="n"/>
      <c r="T161" s="364" t="n"/>
      <c r="U161" s="364" t="n"/>
      <c r="V161" s="364" t="n"/>
      <c r="W161" s="364" t="n"/>
      <c r="X161" s="364" t="n"/>
      <c r="Y161" s="364" t="n"/>
      <c r="Z161" s="364" t="n"/>
      <c r="AA161" s="364" t="n"/>
      <c r="AB161" s="364" t="n"/>
      <c r="AC161" s="364" t="n"/>
      <c r="AD161" s="364" t="n"/>
      <c r="AE161" s="364" t="n"/>
      <c r="AF161" s="364" t="n"/>
      <c r="AG161" s="364" t="n"/>
      <c r="AH161" s="364" t="n"/>
      <c r="AI161" s="364" t="n"/>
      <c r="AJ161" s="157">
        <f>SUM(E161:AI161)</f>
        <v/>
      </c>
      <c r="AK161" s="157">
        <f>AJ161*D161</f>
        <v/>
      </c>
    </row>
    <row r="162" ht="25" customHeight="1">
      <c r="A162" s="164" t="inlineStr">
        <is>
          <r>
            <t>2.การ</t>
          </r>
          <r>
            <rPr>
              <rFont val="TH SarabunPSK"/>
              <family val="2"/>
              <sz val="16"/>
            </rPr>
            <t>ขอ</t>
          </r>
          <r>
            <rPr>
              <rFont val="TH SarabunPSK"/>
              <family val="2"/>
              <color rgb="FFFF0000"/>
              <sz val="16"/>
            </rPr>
            <t>อนุมัติ</t>
          </r>
          <r>
            <rPr>
              <rFont val="TH SarabunPSK"/>
              <family val="2"/>
              <color theme="1"/>
              <sz val="16"/>
            </rPr>
            <t>ใช้ห้อง</t>
          </r>
          <r>
            <rPr>
              <rFont val="TH SarabunPSK"/>
              <family val="2"/>
              <color rgb="FFFF0000"/>
              <sz val="16"/>
            </rPr>
            <t>เรียน</t>
          </r>
          <r>
            <rPr>
              <rFont val="TH SarabunPSK"/>
              <family val="2"/>
              <color theme="1"/>
              <sz val="16"/>
            </rPr>
            <t xml:space="preserve"> ห้องประชุม </t>
          </r>
          <r>
            <rPr>
              <rFont val="TH SarabunPSK"/>
              <family val="2"/>
              <color theme="1"/>
              <sz val="16"/>
              <u val="single"/>
            </rPr>
            <t>ห้องฝึกปฏิบัติการ</t>
          </r>
        </is>
      </c>
      <c r="B162" s="165" t="inlineStr">
        <is>
          <t>ครั้ง</t>
        </is>
      </c>
      <c r="C162" s="165" t="n">
        <v>5</v>
      </c>
      <c r="D162" s="166">
        <f>C162*0.143</f>
        <v/>
      </c>
      <c r="E162" s="364" t="n"/>
      <c r="F162" s="364" t="n"/>
      <c r="G162" s="364" t="n"/>
      <c r="H162" s="364" t="n"/>
      <c r="I162" s="364" t="n"/>
      <c r="J162" s="364" t="n"/>
      <c r="K162" s="364" t="n"/>
      <c r="L162" s="364" t="n"/>
      <c r="M162" s="364" t="n"/>
      <c r="N162" s="364" t="n"/>
      <c r="O162" s="364" t="n"/>
      <c r="P162" s="364" t="n"/>
      <c r="Q162" s="364" t="n"/>
      <c r="R162" s="364" t="n"/>
      <c r="S162" s="364" t="n"/>
      <c r="T162" s="364" t="n"/>
      <c r="U162" s="364" t="n"/>
      <c r="V162" s="364" t="n"/>
      <c r="W162" s="364" t="n"/>
      <c r="X162" s="364" t="n"/>
      <c r="Y162" s="364" t="n"/>
      <c r="Z162" s="364" t="n"/>
      <c r="AA162" s="364" t="n"/>
      <c r="AB162" s="364" t="n"/>
      <c r="AC162" s="364" t="n"/>
      <c r="AD162" s="364" t="n"/>
      <c r="AE162" s="364" t="n"/>
      <c r="AF162" s="364" t="n"/>
      <c r="AG162" s="364" t="n"/>
      <c r="AH162" s="364" t="n"/>
      <c r="AI162" s="364" t="n"/>
      <c r="AJ162" s="157">
        <f>SUM(E162:AI162)</f>
        <v/>
      </c>
      <c r="AK162" s="157">
        <f>AJ162*D162</f>
        <v/>
      </c>
    </row>
    <row r="163" ht="25" customHeight="1">
      <c r="A163" s="235" t="inlineStr">
        <is>
          <t>3.รวบรวมข้อมูลในการจัดทำการประเมินทางดิจิทัล</t>
        </is>
      </c>
      <c r="B163" s="168" t="inlineStr">
        <is>
          <t>ครั้ง</t>
        </is>
      </c>
      <c r="C163" s="169" t="n">
        <v>60</v>
      </c>
      <c r="D163" s="169">
        <f>C163*0.143</f>
        <v/>
      </c>
      <c r="E163" s="364" t="n"/>
      <c r="F163" s="364" t="n"/>
      <c r="G163" s="364" t="n"/>
      <c r="H163" s="364" t="n"/>
      <c r="I163" s="364" t="n"/>
      <c r="J163" s="364" t="n"/>
      <c r="K163" s="364" t="n"/>
      <c r="L163" s="364" t="n"/>
      <c r="M163" s="364" t="n"/>
      <c r="N163" s="364" t="n"/>
      <c r="O163" s="364" t="n"/>
      <c r="P163" s="364" t="n"/>
      <c r="Q163" s="364" t="n"/>
      <c r="R163" s="364" t="n"/>
      <c r="S163" s="364" t="n"/>
      <c r="T163" s="364" t="n"/>
      <c r="U163" s="364" t="n"/>
      <c r="V163" s="364" t="n"/>
      <c r="W163" s="364" t="n"/>
      <c r="X163" s="364" t="n"/>
      <c r="Y163" s="364" t="n"/>
      <c r="Z163" s="364" t="n"/>
      <c r="AA163" s="364" t="n"/>
      <c r="AB163" s="364" t="n"/>
      <c r="AC163" s="364" t="n"/>
      <c r="AD163" s="364" t="n"/>
      <c r="AE163" s="364" t="n"/>
      <c r="AF163" s="364" t="n"/>
      <c r="AG163" s="364" t="n"/>
      <c r="AH163" s="364" t="n"/>
      <c r="AI163" s="368" t="n"/>
      <c r="AJ163" s="170">
        <f>SUM(E163:AI163)</f>
        <v/>
      </c>
      <c r="AK163" s="157">
        <f>AJ163*D163</f>
        <v/>
      </c>
    </row>
    <row r="164" ht="25" customHeight="1">
      <c r="A164" s="176" t="inlineStr">
        <is>
          <t>4.ประสานงานกับระบบ REXX</t>
        </is>
      </c>
      <c r="B164" s="168" t="inlineStr">
        <is>
          <t>ครั้ง</t>
        </is>
      </c>
      <c r="C164" s="169" t="n">
        <v>10</v>
      </c>
      <c r="D164" s="169">
        <f>C164*0.143</f>
        <v/>
      </c>
      <c r="E164" s="364" t="n"/>
      <c r="F164" s="364" t="n"/>
      <c r="G164" s="364" t="n"/>
      <c r="H164" s="364" t="n"/>
      <c r="I164" s="364" t="n"/>
      <c r="J164" s="364" t="n"/>
      <c r="K164" s="364" t="n"/>
      <c r="L164" s="364" t="n"/>
      <c r="M164" s="364" t="n"/>
      <c r="N164" s="364" t="n"/>
      <c r="O164" s="364" t="n"/>
      <c r="P164" s="364" t="n"/>
      <c r="Q164" s="364" t="n"/>
      <c r="R164" s="364" t="n"/>
      <c r="S164" s="364" t="n"/>
      <c r="T164" s="364" t="n"/>
      <c r="U164" s="364" t="n"/>
      <c r="V164" s="364" t="n"/>
      <c r="W164" s="364" t="n"/>
      <c r="X164" s="364" t="n"/>
      <c r="Y164" s="364" t="n"/>
      <c r="Z164" s="364" t="n"/>
      <c r="AA164" s="364" t="n"/>
      <c r="AB164" s="364" t="n"/>
      <c r="AC164" s="364" t="n"/>
      <c r="AD164" s="364" t="n"/>
      <c r="AE164" s="364" t="n"/>
      <c r="AF164" s="364" t="n"/>
      <c r="AG164" s="364" t="n"/>
      <c r="AH164" s="364" t="n"/>
      <c r="AI164" s="368" t="n"/>
      <c r="AJ164" s="170">
        <f>SUM(E164:AI164)</f>
        <v/>
      </c>
      <c r="AK164" s="157">
        <f>AJ164*D164</f>
        <v/>
      </c>
    </row>
    <row r="165" ht="50" customHeight="1">
      <c r="A165" s="162" t="inlineStr">
        <is>
          <r>
            <t xml:space="preserve">5.เบิกและจัดเตรียมอุปกรณ์เพื่อใช้ในการเรียนการสอนของนิสิต </t>
          </r>
          <r>
            <rPr>
              <rFont val="TH SarabunPSK"/>
              <family val="2"/>
              <b val="1"/>
              <color rgb="FFFF0000"/>
              <sz val="16"/>
            </rPr>
            <t>(ก่อนสอน) งบประมาณ</t>
          </r>
        </is>
      </c>
      <c r="B165" s="168" t="inlineStr">
        <is>
          <t>ครั้ง</t>
        </is>
      </c>
      <c r="C165" s="163" t="n">
        <v>60</v>
      </c>
      <c r="D165" s="169">
        <f>C165*0.143</f>
        <v/>
      </c>
      <c r="E165" s="364" t="n"/>
      <c r="F165" s="364" t="n"/>
      <c r="G165" s="364" t="n"/>
      <c r="H165" s="364" t="n"/>
      <c r="I165" s="364" t="n"/>
      <c r="J165" s="364" t="n"/>
      <c r="K165" s="364" t="n"/>
      <c r="L165" s="364" t="n"/>
      <c r="M165" s="364" t="n"/>
      <c r="N165" s="364" t="n"/>
      <c r="O165" s="364" t="n"/>
      <c r="P165" s="364" t="n"/>
      <c r="Q165" s="364" t="n"/>
      <c r="R165" s="364" t="n"/>
      <c r="S165" s="364" t="n"/>
      <c r="T165" s="364" t="n"/>
      <c r="U165" s="364" t="n"/>
      <c r="V165" s="364" t="n"/>
      <c r="W165" s="364" t="n"/>
      <c r="X165" s="364" t="n"/>
      <c r="Y165" s="364" t="n"/>
      <c r="Z165" s="364" t="n"/>
      <c r="AA165" s="364" t="n"/>
      <c r="AB165" s="364" t="n"/>
      <c r="AC165" s="364" t="n"/>
      <c r="AD165" s="364" t="n"/>
      <c r="AE165" s="364" t="n"/>
      <c r="AF165" s="364" t="n"/>
      <c r="AG165" s="364" t="n"/>
      <c r="AH165" s="364" t="n"/>
      <c r="AI165" s="364" t="n"/>
      <c r="AJ165" s="170">
        <f>SUM(E165:AI165)</f>
        <v/>
      </c>
      <c r="AK165" s="157">
        <f>AJ165*D165</f>
        <v/>
      </c>
    </row>
    <row r="166" ht="50" customHeight="1">
      <c r="A166" s="162" t="inlineStr">
        <is>
          <r>
            <t xml:space="preserve">6.เบิกและจัดเตรียมอุปกรณ์เพื่อใช้ในการเรียนการสอนของนิสิต </t>
          </r>
          <r>
            <rPr>
              <rFont val="TH SarabunPSK"/>
              <family val="2"/>
              <b val="1"/>
              <color rgb="FF00B050"/>
              <sz val="16"/>
            </rPr>
            <t>(หลังสอน)</t>
          </r>
        </is>
      </c>
      <c r="B166" s="168" t="inlineStr">
        <is>
          <t>ครั้ง</t>
        </is>
      </c>
      <c r="C166" s="163" t="n">
        <v>90</v>
      </c>
      <c r="D166" s="169">
        <f>C166*0.143</f>
        <v/>
      </c>
      <c r="E166" s="364" t="n"/>
      <c r="F166" s="364" t="n"/>
      <c r="G166" s="364" t="n"/>
      <c r="H166" s="364" t="n"/>
      <c r="I166" s="364" t="n"/>
      <c r="J166" s="364" t="n"/>
      <c r="K166" s="364" t="n"/>
      <c r="L166" s="364" t="n"/>
      <c r="M166" s="364" t="n"/>
      <c r="N166" s="364" t="n"/>
      <c r="O166" s="364" t="n"/>
      <c r="P166" s="364" t="n"/>
      <c r="Q166" s="364" t="n"/>
      <c r="R166" s="364" t="n"/>
      <c r="S166" s="364" t="n"/>
      <c r="T166" s="364" t="n"/>
      <c r="U166" s="364" t="n"/>
      <c r="V166" s="364" t="n"/>
      <c r="W166" s="364" t="n"/>
      <c r="X166" s="364" t="n"/>
      <c r="Y166" s="364" t="n"/>
      <c r="Z166" s="364" t="n"/>
      <c r="AA166" s="364" t="n"/>
      <c r="AB166" s="364" t="n"/>
      <c r="AC166" s="364" t="n"/>
      <c r="AD166" s="364" t="n"/>
      <c r="AE166" s="364" t="n"/>
      <c r="AF166" s="364" t="n"/>
      <c r="AG166" s="364" t="n"/>
      <c r="AH166" s="364" t="n"/>
      <c r="AI166" s="364" t="n"/>
      <c r="AJ166" s="170">
        <f>SUM(E166:AI166)</f>
        <v/>
      </c>
      <c r="AK166" s="157">
        <f>AJ166*D166</f>
        <v/>
      </c>
    </row>
    <row r="167" ht="50" customHeight="1">
      <c r="A167" s="162" t="inlineStr">
        <is>
          <t>7.เชคยอดนิสิต ดูแลและประสานงานนิสิตในการเข้าเรียน การลาเรียน</t>
        </is>
      </c>
      <c r="B167" s="168" t="inlineStr">
        <is>
          <t>ครั้ง</t>
        </is>
      </c>
      <c r="C167" s="163" t="n">
        <v>10</v>
      </c>
      <c r="D167" s="163">
        <f>C167*0.143</f>
        <v/>
      </c>
      <c r="E167" s="364" t="n"/>
      <c r="F167" s="364" t="n"/>
      <c r="G167" s="364" t="n"/>
      <c r="H167" s="364" t="n"/>
      <c r="I167" s="364" t="n"/>
      <c r="J167" s="364" t="n"/>
      <c r="K167" s="364" t="n"/>
      <c r="L167" s="364" t="n"/>
      <c r="M167" s="364" t="n"/>
      <c r="N167" s="364" t="n"/>
      <c r="O167" s="364" t="n"/>
      <c r="P167" s="364" t="n"/>
      <c r="Q167" s="364" t="n"/>
      <c r="R167" s="364" t="n"/>
      <c r="S167" s="364" t="n"/>
      <c r="T167" s="364" t="n"/>
      <c r="U167" s="364" t="n"/>
      <c r="V167" s="364" t="n"/>
      <c r="W167" s="364" t="n"/>
      <c r="X167" s="364" t="n"/>
      <c r="Y167" s="364" t="n"/>
      <c r="Z167" s="364" t="n"/>
      <c r="AA167" s="364" t="n"/>
      <c r="AB167" s="364" t="n"/>
      <c r="AC167" s="364" t="n"/>
      <c r="AD167" s="364" t="n"/>
      <c r="AE167" s="364" t="n"/>
      <c r="AF167" s="364" t="n"/>
      <c r="AG167" s="364" t="n"/>
      <c r="AH167" s="364" t="n"/>
      <c r="AI167" s="364" t="n"/>
      <c r="AJ167" s="170">
        <f>SUM(E167:AI167)</f>
        <v/>
      </c>
      <c r="AK167" s="157">
        <f>AJ167*D167</f>
        <v/>
      </c>
    </row>
    <row r="168" ht="25" customHeight="1">
      <c r="A168" s="162" t="inlineStr">
        <is>
          <t>8.นำข้อสอบ MCQ เข้าระบบสอบอิเลคทรอนิกส์</t>
        </is>
      </c>
      <c r="B168" s="168" t="inlineStr">
        <is>
          <t>วิชา</t>
        </is>
      </c>
      <c r="C168" s="163" t="n">
        <v>60</v>
      </c>
      <c r="D168" s="163">
        <f>C168*0.143</f>
        <v/>
      </c>
      <c r="E168" s="364" t="n"/>
      <c r="F168" s="364" t="n"/>
      <c r="G168" s="364" t="n"/>
      <c r="H168" s="364" t="n"/>
      <c r="I168" s="364" t="n"/>
      <c r="J168" s="364" t="n"/>
      <c r="K168" s="364" t="n"/>
      <c r="L168" s="364" t="n"/>
      <c r="M168" s="364" t="n"/>
      <c r="N168" s="364" t="n"/>
      <c r="O168" s="364" t="n"/>
      <c r="P168" s="364" t="n"/>
      <c r="Q168" s="364" t="n"/>
      <c r="R168" s="364" t="n"/>
      <c r="S168" s="364" t="n"/>
      <c r="T168" s="364" t="n"/>
      <c r="U168" s="364" t="n"/>
      <c r="V168" s="364" t="n"/>
      <c r="W168" s="364" t="n"/>
      <c r="X168" s="364" t="n"/>
      <c r="Y168" s="364" t="n"/>
      <c r="Z168" s="364" t="n"/>
      <c r="AA168" s="364" t="n"/>
      <c r="AB168" s="364" t="n"/>
      <c r="AC168" s="364" t="n"/>
      <c r="AD168" s="364" t="n"/>
      <c r="AE168" s="364" t="n"/>
      <c r="AF168" s="364" t="n"/>
      <c r="AG168" s="364" t="n"/>
      <c r="AH168" s="364" t="n"/>
      <c r="AI168" s="364" t="n"/>
      <c r="AJ168" s="170">
        <f>SUM(E168:AI168)</f>
        <v/>
      </c>
      <c r="AK168" s="157">
        <f>AJ168*D168</f>
        <v/>
      </c>
    </row>
    <row r="169" ht="25" customHeight="1">
      <c r="A169" s="162" t="inlineStr">
        <is>
          <t>9.จัดทำเอกสารข้อสอบ MEQ, CRQ, OSCE</t>
        </is>
      </c>
      <c r="B169" s="168" t="inlineStr">
        <is>
          <t>วิชา</t>
        </is>
      </c>
      <c r="C169" s="163" t="n">
        <v>60</v>
      </c>
      <c r="D169" s="163">
        <f>C169*0.143</f>
        <v/>
      </c>
      <c r="E169" s="364" t="n"/>
      <c r="F169" s="364" t="n"/>
      <c r="G169" s="364" t="n"/>
      <c r="H169" s="364" t="n"/>
      <c r="I169" s="364" t="n"/>
      <c r="J169" s="364" t="n"/>
      <c r="K169" s="364" t="n"/>
      <c r="L169" s="364" t="n"/>
      <c r="M169" s="364" t="n"/>
      <c r="N169" s="364" t="n"/>
      <c r="O169" s="364" t="n"/>
      <c r="P169" s="364" t="n"/>
      <c r="Q169" s="364" t="n"/>
      <c r="R169" s="364" t="n"/>
      <c r="S169" s="364" t="n"/>
      <c r="T169" s="364" t="n"/>
      <c r="U169" s="364" t="n"/>
      <c r="V169" s="364" t="n"/>
      <c r="W169" s="364" t="n"/>
      <c r="X169" s="364" t="n"/>
      <c r="Y169" s="364" t="n"/>
      <c r="Z169" s="364" t="n"/>
      <c r="AA169" s="364" t="n"/>
      <c r="AB169" s="364" t="n"/>
      <c r="AC169" s="364" t="n"/>
      <c r="AD169" s="364" t="n"/>
      <c r="AE169" s="364" t="n"/>
      <c r="AF169" s="364" t="n"/>
      <c r="AG169" s="364" t="n"/>
      <c r="AH169" s="364" t="n"/>
      <c r="AI169" s="364" t="n"/>
      <c r="AJ169" s="170">
        <f>SUM(E169:AI169)</f>
        <v/>
      </c>
      <c r="AK169" s="157">
        <f>AJ169*D169</f>
        <v/>
      </c>
    </row>
    <row r="170" ht="25" customHeight="1">
      <c r="A170" s="171" t="inlineStr">
        <is>
          <t>10.รวบรวมคะแนน ตัดเกรด (ไม่เกิน 2 วันต่อรายวิชา)</t>
        </is>
      </c>
      <c r="B170" s="168" t="inlineStr">
        <is>
          <t>วิชา</t>
        </is>
      </c>
      <c r="C170" s="163" t="inlineStr">
        <is>
          <t>เหมา/วัน</t>
        </is>
      </c>
      <c r="D170" s="163" t="n">
        <v>60</v>
      </c>
      <c r="E170" s="364" t="n"/>
      <c r="F170" s="364" t="n"/>
      <c r="G170" s="364" t="n"/>
      <c r="H170" s="364" t="n"/>
      <c r="I170" s="364" t="n"/>
      <c r="J170" s="364" t="n"/>
      <c r="K170" s="364" t="n"/>
      <c r="L170" s="364" t="n"/>
      <c r="M170" s="364" t="n"/>
      <c r="N170" s="364" t="n"/>
      <c r="O170" s="364" t="n"/>
      <c r="P170" s="364" t="n"/>
      <c r="Q170" s="364" t="n"/>
      <c r="R170" s="364" t="n"/>
      <c r="S170" s="364" t="n"/>
      <c r="T170" s="364" t="n"/>
      <c r="U170" s="364" t="n"/>
      <c r="V170" s="364" t="n"/>
      <c r="W170" s="364" t="n"/>
      <c r="X170" s="364" t="n"/>
      <c r="Y170" s="364" t="n"/>
      <c r="Z170" s="364" t="n"/>
      <c r="AA170" s="364" t="n"/>
      <c r="AB170" s="364" t="n"/>
      <c r="AC170" s="364" t="n"/>
      <c r="AD170" s="364" t="n"/>
      <c r="AE170" s="364" t="n"/>
      <c r="AF170" s="364" t="n"/>
      <c r="AG170" s="364" t="n"/>
      <c r="AH170" s="364" t="n"/>
      <c r="AI170" s="364" t="n"/>
      <c r="AJ170" s="170">
        <f>SUM(E170:AI170)</f>
        <v/>
      </c>
      <c r="AK170" s="157">
        <f>AJ170*D170</f>
        <v/>
      </c>
    </row>
    <row r="171" ht="25" customHeight="1">
      <c r="A171" s="171" t="inlineStr">
        <is>
          <t>11.เตรียมเอกสาร ไฟล์ประกอบการสอน</t>
        </is>
      </c>
      <c r="B171" s="168" t="inlineStr">
        <is>
          <t>เอกสาร</t>
        </is>
      </c>
      <c r="C171" s="163" t="n">
        <v>10</v>
      </c>
      <c r="D171" s="163">
        <f>C171*0.143</f>
        <v/>
      </c>
      <c r="E171" s="364" t="n"/>
      <c r="F171" s="364" t="n"/>
      <c r="G171" s="364" t="n"/>
      <c r="H171" s="364" t="n"/>
      <c r="I171" s="364" t="n"/>
      <c r="J171" s="364" t="n"/>
      <c r="K171" s="364" t="n"/>
      <c r="L171" s="364" t="n"/>
      <c r="M171" s="364" t="n"/>
      <c r="N171" s="364" t="n"/>
      <c r="O171" s="364" t="n"/>
      <c r="P171" s="364" t="n"/>
      <c r="Q171" s="364" t="n"/>
      <c r="R171" s="364" t="n"/>
      <c r="S171" s="364" t="n"/>
      <c r="T171" s="364" t="n"/>
      <c r="U171" s="364" t="n"/>
      <c r="V171" s="364" t="n"/>
      <c r="W171" s="364" t="n"/>
      <c r="X171" s="364" t="n"/>
      <c r="Y171" s="364" t="n"/>
      <c r="Z171" s="364" t="n"/>
      <c r="AA171" s="364" t="n"/>
      <c r="AB171" s="364" t="n"/>
      <c r="AC171" s="364" t="n"/>
      <c r="AD171" s="364" t="n"/>
      <c r="AE171" s="364" t="n"/>
      <c r="AF171" s="364" t="n"/>
      <c r="AG171" s="364" t="n"/>
      <c r="AH171" s="364" t="n"/>
      <c r="AI171" s="364" t="n"/>
      <c r="AJ171" s="170">
        <f>SUM(E171:AI171)</f>
        <v/>
      </c>
      <c r="AK171" s="157">
        <f>AJ171*D171</f>
        <v/>
      </c>
    </row>
    <row r="172" ht="25" customHeight="1">
      <c r="A172" s="171" t="inlineStr">
        <is>
          <t>12.ปรับเอกสาร ไฟล์ประกอบการสอน</t>
        </is>
      </c>
      <c r="B172" s="168" t="inlineStr">
        <is>
          <t>เอกสาร</t>
        </is>
      </c>
      <c r="C172" s="163" t="n">
        <v>30</v>
      </c>
      <c r="D172" s="163">
        <f>C172*0.143</f>
        <v/>
      </c>
      <c r="E172" s="364" t="n"/>
      <c r="F172" s="364" t="n"/>
      <c r="G172" s="364" t="n"/>
      <c r="H172" s="364" t="n"/>
      <c r="I172" s="364" t="n"/>
      <c r="J172" s="364" t="n"/>
      <c r="K172" s="364" t="n"/>
      <c r="L172" s="364" t="n"/>
      <c r="M172" s="364" t="n"/>
      <c r="N172" s="364" t="n"/>
      <c r="O172" s="364" t="n"/>
      <c r="P172" s="364" t="n"/>
      <c r="Q172" s="364" t="n"/>
      <c r="R172" s="364" t="n"/>
      <c r="S172" s="364" t="n"/>
      <c r="T172" s="364" t="n"/>
      <c r="U172" s="364" t="n"/>
      <c r="V172" s="364" t="n"/>
      <c r="W172" s="364" t="n"/>
      <c r="X172" s="364" t="n"/>
      <c r="Y172" s="364" t="n"/>
      <c r="Z172" s="364" t="n"/>
      <c r="AA172" s="364" t="n"/>
      <c r="AB172" s="364" t="n"/>
      <c r="AC172" s="364" t="n"/>
      <c r="AD172" s="364" t="n"/>
      <c r="AE172" s="364" t="n"/>
      <c r="AF172" s="364" t="n"/>
      <c r="AG172" s="364" t="n"/>
      <c r="AH172" s="364" t="n"/>
      <c r="AI172" s="364" t="n"/>
      <c r="AJ172" s="170">
        <f>SUM(E172:AI172)</f>
        <v/>
      </c>
      <c r="AK172" s="157">
        <f>AJ172*D172</f>
        <v/>
      </c>
    </row>
    <row r="173" ht="25" customHeight="1">
      <c r="A173" s="171" t="inlineStr">
        <is>
          <t>13.จัดห้องสอบปกติและการสอบซ่อม</t>
        </is>
      </c>
      <c r="B173" s="163" t="inlineStr">
        <is>
          <t>ครั้ง</t>
        </is>
      </c>
      <c r="C173" s="163" t="n">
        <v>30</v>
      </c>
      <c r="D173" s="163">
        <f>C173*0.143</f>
        <v/>
      </c>
      <c r="E173" s="364" t="n"/>
      <c r="F173" s="364" t="n"/>
      <c r="G173" s="364" t="n"/>
      <c r="H173" s="364" t="n"/>
      <c r="I173" s="364" t="n"/>
      <c r="J173" s="364" t="n"/>
      <c r="K173" s="364" t="n"/>
      <c r="L173" s="364" t="n"/>
      <c r="M173" s="364" t="n"/>
      <c r="N173" s="364" t="n"/>
      <c r="O173" s="364" t="n"/>
      <c r="P173" s="364" t="n"/>
      <c r="Q173" s="364" t="n"/>
      <c r="R173" s="364" t="n"/>
      <c r="S173" s="364" t="n"/>
      <c r="T173" s="364" t="n"/>
      <c r="U173" s="364" t="n"/>
      <c r="V173" s="364" t="n"/>
      <c r="W173" s="364" t="n"/>
      <c r="X173" s="364" t="n"/>
      <c r="Y173" s="364" t="n"/>
      <c r="Z173" s="364" t="n"/>
      <c r="AA173" s="364" t="n"/>
      <c r="AB173" s="364" t="n"/>
      <c r="AC173" s="364" t="n"/>
      <c r="AD173" s="364" t="n"/>
      <c r="AE173" s="364" t="n"/>
      <c r="AF173" s="364" t="n"/>
      <c r="AG173" s="364" t="n"/>
      <c r="AH173" s="364" t="n"/>
      <c r="AI173" s="364" t="n"/>
      <c r="AJ173" s="170">
        <f>SUM(E173:AI173)</f>
        <v/>
      </c>
      <c r="AK173" s="157">
        <f>AJ173*D173</f>
        <v/>
      </c>
    </row>
    <row r="174" ht="25" customHeight="1">
      <c r="A174" s="171" t="inlineStr">
        <is>
          <t>14.คุมสอบข้อเขียน</t>
        </is>
      </c>
      <c r="B174" s="163" t="inlineStr">
        <is>
          <t>ครั้ง</t>
        </is>
      </c>
      <c r="C174" s="163" t="n">
        <v>90</v>
      </c>
      <c r="D174" s="163">
        <f>C174*0.143</f>
        <v/>
      </c>
      <c r="E174" s="364" t="n"/>
      <c r="F174" s="364" t="n"/>
      <c r="G174" s="364" t="n"/>
      <c r="H174" s="364" t="n"/>
      <c r="I174" s="364" t="n"/>
      <c r="J174" s="364" t="n"/>
      <c r="K174" s="364" t="n"/>
      <c r="L174" s="364" t="n"/>
      <c r="M174" s="364" t="n"/>
      <c r="N174" s="364" t="n"/>
      <c r="O174" s="364" t="n"/>
      <c r="P174" s="364" t="n"/>
      <c r="Q174" s="364" t="n"/>
      <c r="R174" s="364" t="n"/>
      <c r="S174" s="364" t="n"/>
      <c r="T174" s="364" t="n"/>
      <c r="U174" s="364" t="n"/>
      <c r="V174" s="364" t="n"/>
      <c r="W174" s="364" t="n"/>
      <c r="X174" s="364" t="n"/>
      <c r="Y174" s="364" t="n"/>
      <c r="Z174" s="364" t="n"/>
      <c r="AA174" s="364" t="n"/>
      <c r="AB174" s="364" t="n"/>
      <c r="AC174" s="364" t="n"/>
      <c r="AD174" s="364" t="n"/>
      <c r="AE174" s="364" t="n"/>
      <c r="AF174" s="364" t="n"/>
      <c r="AG174" s="364" t="n"/>
      <c r="AH174" s="364" t="n"/>
      <c r="AI174" s="364" t="n"/>
      <c r="AJ174" s="170">
        <f>SUM(E174:AI174)</f>
        <v/>
      </c>
      <c r="AK174" s="157">
        <f>AJ174*D174</f>
        <v/>
      </c>
    </row>
    <row r="175" ht="25" customHeight="1">
      <c r="A175" s="171" t="inlineStr">
        <is>
          <t>15.คุมสอบ OSCE</t>
        </is>
      </c>
      <c r="B175" s="163" t="inlineStr">
        <is>
          <t>ครั้ง</t>
        </is>
      </c>
      <c r="C175" s="163" t="inlineStr">
        <is>
          <t>เหมาวัน</t>
        </is>
      </c>
      <c r="D175" s="163" t="n">
        <v>30</v>
      </c>
      <c r="E175" s="364" t="n"/>
      <c r="F175" s="364" t="n"/>
      <c r="G175" s="364" t="n"/>
      <c r="H175" s="364" t="n"/>
      <c r="I175" s="364" t="n"/>
      <c r="J175" s="364" t="n"/>
      <c r="K175" s="364" t="n"/>
      <c r="L175" s="364" t="n"/>
      <c r="M175" s="364" t="n"/>
      <c r="N175" s="364" t="n"/>
      <c r="O175" s="364" t="n"/>
      <c r="P175" s="364" t="n"/>
      <c r="Q175" s="364" t="n"/>
      <c r="R175" s="364" t="n"/>
      <c r="S175" s="364" t="n"/>
      <c r="T175" s="364" t="n"/>
      <c r="U175" s="364" t="n"/>
      <c r="V175" s="364" t="n"/>
      <c r="W175" s="364" t="n"/>
      <c r="X175" s="364" t="n"/>
      <c r="Y175" s="364" t="n"/>
      <c r="Z175" s="364" t="n"/>
      <c r="AA175" s="364" t="n"/>
      <c r="AB175" s="364" t="n"/>
      <c r="AC175" s="364" t="n"/>
      <c r="AD175" s="364" t="n"/>
      <c r="AE175" s="364" t="n"/>
      <c r="AF175" s="364" t="n"/>
      <c r="AG175" s="364" t="n"/>
      <c r="AH175" s="364" t="n"/>
      <c r="AI175" s="364" t="n"/>
      <c r="AJ175" s="170">
        <f>SUM(E175:AI175)</f>
        <v/>
      </c>
      <c r="AK175" s="157">
        <f>AJ175*D175</f>
        <v/>
      </c>
    </row>
    <row r="176" ht="25" customHeight="1">
      <c r="A176" s="171" t="inlineStr">
        <is>
          <t>16.จัดทำ มคอ. 5 (วิชาละ 1 เล่ม/ปี)</t>
        </is>
      </c>
      <c r="B176" s="163" t="inlineStr">
        <is>
          <t>วิชา</t>
        </is>
      </c>
      <c r="C176" s="163" t="n">
        <v>60</v>
      </c>
      <c r="D176" s="163">
        <f>C176*0.143</f>
        <v/>
      </c>
      <c r="E176" s="364" t="n"/>
      <c r="F176" s="364" t="n"/>
      <c r="G176" s="364" t="n"/>
      <c r="H176" s="364" t="n"/>
      <c r="I176" s="364" t="n"/>
      <c r="J176" s="364" t="n"/>
      <c r="K176" s="364" t="n"/>
      <c r="L176" s="364" t="n"/>
      <c r="M176" s="364" t="n"/>
      <c r="N176" s="364" t="n"/>
      <c r="O176" s="364" t="n"/>
      <c r="P176" s="364" t="n"/>
      <c r="Q176" s="364" t="n"/>
      <c r="R176" s="364" t="n"/>
      <c r="S176" s="364" t="n"/>
      <c r="T176" s="364" t="n"/>
      <c r="U176" s="364" t="n"/>
      <c r="V176" s="364" t="n"/>
      <c r="W176" s="364" t="n"/>
      <c r="X176" s="364" t="n"/>
      <c r="Y176" s="364" t="n"/>
      <c r="Z176" s="364" t="n"/>
      <c r="AA176" s="364" t="n"/>
      <c r="AB176" s="364" t="n"/>
      <c r="AC176" s="364" t="n"/>
      <c r="AD176" s="364" t="n"/>
      <c r="AE176" s="364" t="n"/>
      <c r="AF176" s="364" t="n"/>
      <c r="AG176" s="364" t="n"/>
      <c r="AH176" s="364" t="n"/>
      <c r="AI176" s="364" t="n"/>
      <c r="AJ176" s="157">
        <f>SUM(E176:AI176)</f>
        <v/>
      </c>
      <c r="AK176" s="157">
        <f>AJ176*D176</f>
        <v/>
      </c>
    </row>
    <row r="177" ht="25" customHeight="1">
      <c r="A177" s="171" t="inlineStr">
        <is>
          <t>17.จัดทำเอกสารในกรณีที่มีการอุทธรณ์ของนิสิต</t>
        </is>
      </c>
      <c r="B177" s="172" t="inlineStr">
        <is>
          <t>วิชา</t>
        </is>
      </c>
      <c r="C177" s="172" t="n">
        <v>60</v>
      </c>
      <c r="D177" s="172">
        <f>C177*0.143</f>
        <v/>
      </c>
      <c r="E177" s="365" t="n"/>
      <c r="F177" s="365" t="n"/>
      <c r="G177" s="365" t="n"/>
      <c r="H177" s="365" t="n"/>
      <c r="I177" s="365" t="n"/>
      <c r="J177" s="365" t="n"/>
      <c r="K177" s="365" t="n"/>
      <c r="L177" s="365" t="n"/>
      <c r="M177" s="365" t="n"/>
      <c r="N177" s="365" t="n"/>
      <c r="O177" s="365" t="n"/>
      <c r="P177" s="365" t="n"/>
      <c r="Q177" s="365" t="n"/>
      <c r="R177" s="365" t="n"/>
      <c r="S177" s="365" t="n"/>
      <c r="T177" s="365" t="n"/>
      <c r="U177" s="365" t="n"/>
      <c r="V177" s="365" t="n"/>
      <c r="W177" s="365" t="n"/>
      <c r="X177" s="365" t="n"/>
      <c r="Y177" s="365" t="n"/>
      <c r="Z177" s="365" t="n"/>
      <c r="AA177" s="365" t="n"/>
      <c r="AB177" s="365" t="n"/>
      <c r="AC177" s="365" t="n"/>
      <c r="AD177" s="365" t="n"/>
      <c r="AE177" s="365" t="n"/>
      <c r="AF177" s="365" t="n"/>
      <c r="AG177" s="365" t="n"/>
      <c r="AH177" s="365" t="n"/>
      <c r="AI177" s="365" t="n"/>
      <c r="AJ177" s="173">
        <f>SUM(E177:AI177)</f>
        <v/>
      </c>
      <c r="AK177" s="173">
        <f>AJ177*D177</f>
        <v/>
      </c>
    </row>
    <row r="178" ht="25" customHeight="1">
      <c r="A178" s="158" t="inlineStr">
        <is>
          <t>งานบริการห้องเรียนและห้องประชุมและโสตทัศนูปกรณ์</t>
        </is>
      </c>
      <c r="B178" s="159" t="n"/>
      <c r="C178" s="160" t="n"/>
      <c r="D178" s="160" t="n"/>
      <c r="E178" s="634" t="n"/>
      <c r="F178" s="634" t="n"/>
      <c r="G178" s="634" t="n"/>
      <c r="H178" s="634" t="n"/>
      <c r="I178" s="634" t="n"/>
      <c r="J178" s="634" t="n"/>
      <c r="K178" s="634" t="n"/>
      <c r="L178" s="634" t="n"/>
      <c r="M178" s="634" t="n"/>
      <c r="N178" s="634" t="n"/>
      <c r="O178" s="634" t="n"/>
      <c r="P178" s="634" t="n"/>
      <c r="Q178" s="634" t="n"/>
      <c r="R178" s="634" t="n"/>
      <c r="S178" s="634" t="n"/>
      <c r="T178" s="634" t="n"/>
      <c r="U178" s="634" t="n"/>
      <c r="V178" s="634" t="n"/>
      <c r="W178" s="634" t="n"/>
      <c r="X178" s="634" t="n"/>
      <c r="Y178" s="634" t="n"/>
      <c r="Z178" s="634" t="n"/>
      <c r="AA178" s="634" t="n"/>
      <c r="AB178" s="634" t="n"/>
      <c r="AC178" s="634" t="n"/>
      <c r="AD178" s="634" t="n"/>
      <c r="AE178" s="634" t="n"/>
      <c r="AF178" s="634" t="n"/>
      <c r="AG178" s="634" t="n"/>
      <c r="AH178" s="634" t="n"/>
      <c r="AI178" s="634" t="n"/>
      <c r="AJ178" s="148" t="n"/>
      <c r="AK178" s="620" t="n"/>
    </row>
    <row r="179" ht="50" customHeight="1">
      <c r="A179" s="171" t="inlineStr">
        <is>
          <t>1.เตรียมห้องเรียนหรือห้องประชุมในการเรียนการสอน (2 รอบต่อวัน)</t>
        </is>
      </c>
      <c r="B179" s="174" t="inlineStr">
        <is>
          <t>รอบ</t>
        </is>
      </c>
      <c r="C179" s="174" t="n">
        <v>15</v>
      </c>
      <c r="D179" s="175">
        <f>C179*0.143</f>
        <v/>
      </c>
      <c r="E179" s="366" t="n"/>
      <c r="F179" s="366" t="n"/>
      <c r="G179" s="366" t="n"/>
      <c r="H179" s="366" t="n"/>
      <c r="I179" s="366" t="n"/>
      <c r="J179" s="366" t="n"/>
      <c r="K179" s="366" t="n"/>
      <c r="L179" s="366" t="n"/>
      <c r="M179" s="366" t="n"/>
      <c r="N179" s="366" t="n"/>
      <c r="O179" s="366" t="n"/>
      <c r="P179" s="366" t="n"/>
      <c r="Q179" s="366" t="n"/>
      <c r="R179" s="366" t="n"/>
      <c r="S179" s="366" t="n"/>
      <c r="T179" s="366" t="n"/>
      <c r="U179" s="366" t="n"/>
      <c r="V179" s="366" t="n"/>
      <c r="W179" s="366" t="n"/>
      <c r="X179" s="366" t="n"/>
      <c r="Y179" s="366" t="n"/>
      <c r="Z179" s="366" t="n"/>
      <c r="AA179" s="366" t="n"/>
      <c r="AB179" s="366" t="n"/>
      <c r="AC179" s="366" t="n"/>
      <c r="AD179" s="366" t="n"/>
      <c r="AE179" s="366" t="n"/>
      <c r="AF179" s="366" t="n"/>
      <c r="AG179" s="366" t="n"/>
      <c r="AH179" s="366" t="n"/>
      <c r="AI179" s="366" t="n"/>
      <c r="AJ179" s="154">
        <f>SUM(E179:AI179)</f>
        <v/>
      </c>
      <c r="AK179" s="154">
        <f>AJ179*D179</f>
        <v/>
      </c>
    </row>
    <row r="180" ht="50" customHeight="1">
      <c r="A180" s="176" t="inlineStr">
        <is>
          <t>2.จัดเตรียมสถานที่อุปกรณ์ สนับสนุนการสอบ MCQ หรือ MEQ แพทย์ นิสิตแพทย์</t>
        </is>
      </c>
      <c r="B180" s="163" t="inlineStr">
        <is>
          <t>ครั้ง</t>
        </is>
      </c>
      <c r="C180" s="163" t="n">
        <v>15</v>
      </c>
      <c r="D180" s="177">
        <f>C180*0.143</f>
        <v/>
      </c>
      <c r="E180" s="364" t="n"/>
      <c r="F180" s="364" t="n"/>
      <c r="G180" s="364" t="n"/>
      <c r="H180" s="364" t="n"/>
      <c r="I180" s="364" t="n"/>
      <c r="J180" s="364" t="n"/>
      <c r="K180" s="364" t="n"/>
      <c r="L180" s="364" t="n"/>
      <c r="M180" s="364" t="n"/>
      <c r="N180" s="364" t="n"/>
      <c r="O180" s="364" t="n"/>
      <c r="P180" s="364" t="n"/>
      <c r="Q180" s="364" t="n"/>
      <c r="R180" s="364" t="n"/>
      <c r="S180" s="364" t="n"/>
      <c r="T180" s="364" t="n"/>
      <c r="U180" s="364" t="n"/>
      <c r="V180" s="364" t="n"/>
      <c r="W180" s="364" t="n"/>
      <c r="X180" s="364" t="n"/>
      <c r="Y180" s="364" t="n"/>
      <c r="Z180" s="364" t="n"/>
      <c r="AA180" s="364" t="n"/>
      <c r="AB180" s="364" t="n"/>
      <c r="AC180" s="364" t="n"/>
      <c r="AD180" s="364" t="n"/>
      <c r="AE180" s="364" t="n"/>
      <c r="AF180" s="364" t="n"/>
      <c r="AG180" s="364" t="n"/>
      <c r="AH180" s="364" t="n"/>
      <c r="AI180" s="364" t="n"/>
      <c r="AJ180" s="154">
        <f>SUM(E180:AI180)</f>
        <v/>
      </c>
      <c r="AK180" s="154">
        <f>AJ180*D180</f>
        <v/>
      </c>
    </row>
    <row r="181" ht="25" customHeight="1">
      <c r="A181" s="178" t="inlineStr">
        <is>
          <t>3.พัฒนาแอปพลิเคชันระบบฐานข้อมูลจองห้องเรียน</t>
        </is>
      </c>
      <c r="B181" s="163" t="inlineStr">
        <is>
          <t>วัน</t>
        </is>
      </c>
      <c r="C181" s="163" t="inlineStr">
        <is>
          <t>เหมา</t>
        </is>
      </c>
      <c r="D181" s="177" t="n">
        <v>30</v>
      </c>
      <c r="E181" s="364" t="n"/>
      <c r="F181" s="364" t="n"/>
      <c r="G181" s="364" t="n"/>
      <c r="H181" s="364" t="n"/>
      <c r="I181" s="364" t="n"/>
      <c r="J181" s="364" t="n"/>
      <c r="K181" s="364" t="n"/>
      <c r="L181" s="364" t="n"/>
      <c r="M181" s="364" t="n"/>
      <c r="N181" s="364" t="n"/>
      <c r="O181" s="364" t="n"/>
      <c r="P181" s="364" t="n"/>
      <c r="Q181" s="364" t="n"/>
      <c r="R181" s="364" t="n"/>
      <c r="S181" s="364" t="n"/>
      <c r="T181" s="364" t="n"/>
      <c r="U181" s="364" t="n"/>
      <c r="V181" s="364" t="n"/>
      <c r="W181" s="364" t="n"/>
      <c r="X181" s="364" t="n"/>
      <c r="Y181" s="364" t="n"/>
      <c r="Z181" s="364" t="n"/>
      <c r="AA181" s="364" t="n"/>
      <c r="AB181" s="364" t="n"/>
      <c r="AC181" s="364" t="n"/>
      <c r="AD181" s="364" t="n"/>
      <c r="AE181" s="364" t="n"/>
      <c r="AF181" s="364" t="n"/>
      <c r="AG181" s="364" t="n"/>
      <c r="AH181" s="364" t="n"/>
      <c r="AI181" s="364" t="n"/>
      <c r="AJ181" s="154">
        <f>SUM(E181:AI181)</f>
        <v/>
      </c>
      <c r="AK181" s="154">
        <f>AJ181*D181</f>
        <v/>
      </c>
    </row>
    <row r="182" ht="50" customHeight="1">
      <c r="A182" s="178" t="inlineStr">
        <is>
          <t>4.ให้ความช่วยเหลือและแนะนำการแก้ปัญหาการใช้งานห้องเรียนและโสตทัศนูปกรณ์แก่ผู้ใช้งานห้องเรียน</t>
        </is>
      </c>
      <c r="B182" s="163" t="inlineStr">
        <is>
          <t>ครั้ง</t>
        </is>
      </c>
      <c r="C182" s="163" t="n">
        <v>10</v>
      </c>
      <c r="D182" s="177">
        <f>C182*0.143</f>
        <v/>
      </c>
      <c r="E182" s="364" t="n"/>
      <c r="F182" s="364" t="n"/>
      <c r="G182" s="364" t="n"/>
      <c r="H182" s="364" t="n"/>
      <c r="I182" s="364" t="n"/>
      <c r="J182" s="364" t="n"/>
      <c r="K182" s="364" t="n"/>
      <c r="L182" s="364" t="n"/>
      <c r="M182" s="364" t="n"/>
      <c r="N182" s="364" t="n"/>
      <c r="O182" s="364" t="n"/>
      <c r="P182" s="364" t="n"/>
      <c r="Q182" s="364" t="n"/>
      <c r="R182" s="364" t="n"/>
      <c r="S182" s="364" t="n"/>
      <c r="T182" s="364" t="n"/>
      <c r="U182" s="364" t="n"/>
      <c r="V182" s="364" t="n"/>
      <c r="W182" s="364" t="n"/>
      <c r="X182" s="364" t="n"/>
      <c r="Y182" s="364" t="n"/>
      <c r="Z182" s="364" t="n"/>
      <c r="AA182" s="364" t="n"/>
      <c r="AB182" s="364" t="n"/>
      <c r="AC182" s="364" t="n"/>
      <c r="AD182" s="364" t="n"/>
      <c r="AE182" s="364" t="n"/>
      <c r="AF182" s="364" t="n"/>
      <c r="AG182" s="364" t="n"/>
      <c r="AH182" s="364" t="n"/>
      <c r="AI182" s="364" t="n"/>
      <c r="AJ182" s="154">
        <f>SUM(E182:AI182)</f>
        <v/>
      </c>
      <c r="AK182" s="154">
        <f>AJ182*D182</f>
        <v/>
      </c>
    </row>
    <row r="183" ht="25" customHeight="1">
      <c r="A183" s="178" t="inlineStr">
        <is>
          <t>5.ดูแลและจัดการ app ระบบจองห้องเรียน และโสตทัศนูปกรณ์</t>
        </is>
      </c>
      <c r="B183" s="172" t="inlineStr">
        <is>
          <t>ครั้ง</t>
        </is>
      </c>
      <c r="C183" s="172" t="n">
        <v>5</v>
      </c>
      <c r="D183" s="179">
        <f>C183*0.143</f>
        <v/>
      </c>
      <c r="E183" s="365" t="n"/>
      <c r="F183" s="365" t="n"/>
      <c r="G183" s="365" t="n"/>
      <c r="H183" s="365" t="n"/>
      <c r="I183" s="365" t="n"/>
      <c r="J183" s="365" t="n"/>
      <c r="K183" s="365" t="n"/>
      <c r="L183" s="365" t="n"/>
      <c r="M183" s="365" t="n"/>
      <c r="N183" s="365" t="n"/>
      <c r="O183" s="365" t="n"/>
      <c r="P183" s="365" t="n"/>
      <c r="Q183" s="365" t="n"/>
      <c r="R183" s="365" t="n"/>
      <c r="S183" s="365" t="n"/>
      <c r="T183" s="365" t="n"/>
      <c r="U183" s="365" t="n"/>
      <c r="V183" s="365" t="n"/>
      <c r="W183" s="365" t="n"/>
      <c r="X183" s="365" t="n"/>
      <c r="Y183" s="365" t="n"/>
      <c r="Z183" s="365" t="n"/>
      <c r="AA183" s="365" t="n"/>
      <c r="AB183" s="365" t="n"/>
      <c r="AC183" s="365" t="n"/>
      <c r="AD183" s="365" t="n"/>
      <c r="AE183" s="365" t="n"/>
      <c r="AF183" s="365" t="n"/>
      <c r="AG183" s="365" t="n"/>
      <c r="AH183" s="365" t="n"/>
      <c r="AI183" s="365" t="n"/>
      <c r="AJ183" s="180">
        <f>SUM(E183:AI183)</f>
        <v/>
      </c>
      <c r="AK183" s="180">
        <f>AJ183*D183</f>
        <v/>
      </c>
    </row>
    <row r="184" ht="25" customHeight="1">
      <c r="A184" s="158" t="inlineStr">
        <is>
          <t>งานบริการห้องฝึกหัตถการและสถานการณ์จำลองทางคลินิก</t>
        </is>
      </c>
      <c r="B184" s="159" t="n"/>
      <c r="C184" s="160" t="n"/>
      <c r="D184" s="181" t="n"/>
      <c r="E184" s="634" t="n"/>
      <c r="F184" s="634" t="n"/>
      <c r="G184" s="634" t="n"/>
      <c r="H184" s="634" t="n"/>
      <c r="I184" s="634" t="n"/>
      <c r="J184" s="634" t="n"/>
      <c r="K184" s="634" t="n"/>
      <c r="L184" s="634" t="n"/>
      <c r="M184" s="634" t="n"/>
      <c r="N184" s="634" t="n"/>
      <c r="O184" s="634" t="n"/>
      <c r="P184" s="634" t="n"/>
      <c r="Q184" s="634" t="n"/>
      <c r="R184" s="634" t="n"/>
      <c r="S184" s="634" t="n"/>
      <c r="T184" s="634" t="n"/>
      <c r="U184" s="634" t="n"/>
      <c r="V184" s="634" t="n"/>
      <c r="W184" s="634" t="n"/>
      <c r="X184" s="634" t="n"/>
      <c r="Y184" s="634" t="n"/>
      <c r="Z184" s="634" t="n"/>
      <c r="AA184" s="634" t="n"/>
      <c r="AB184" s="634" t="n"/>
      <c r="AC184" s="634" t="n"/>
      <c r="AD184" s="634" t="n"/>
      <c r="AE184" s="634" t="n"/>
      <c r="AF184" s="634" t="n"/>
      <c r="AG184" s="634" t="n"/>
      <c r="AH184" s="634" t="n"/>
      <c r="AI184" s="634" t="n"/>
      <c r="AJ184" s="148" t="n"/>
      <c r="AK184" s="620" t="n"/>
    </row>
    <row r="185" ht="50" customHeight="1">
      <c r="A185" s="171" t="inlineStr">
        <is>
          <r>
            <t>1.เตรียม/จัดเก็บ</t>
          </r>
          <r>
            <rPr>
              <rFont val="TH SarabunPSK"/>
              <family val="2"/>
              <color rgb="FFFF0000"/>
              <sz val="16"/>
            </rPr>
            <t xml:space="preserve">หุ่น </t>
          </r>
          <r>
            <rPr>
              <rFont val="TH SarabunPSK"/>
              <family val="2"/>
              <b val="1"/>
              <color theme="1"/>
              <sz val="16"/>
            </rPr>
            <t>ห้องฝึกหัตถการ</t>
          </r>
          <r>
            <rPr>
              <rFont val="TH SarabunPSK"/>
              <family val="2"/>
              <color theme="1"/>
              <sz val="16"/>
            </rPr>
            <t xml:space="preserve"> หรือสอบหัตถการทางคลินิก รายสถานการณ์</t>
          </r>
        </is>
      </c>
      <c r="B185" s="174" t="inlineStr">
        <is>
          <t>ครั้ง</t>
        </is>
      </c>
      <c r="C185" s="174" t="n">
        <v>45</v>
      </c>
      <c r="D185" s="175">
        <f>C185*0.143</f>
        <v/>
      </c>
      <c r="E185" s="366" t="n"/>
      <c r="F185" s="366" t="n"/>
      <c r="G185" s="366" t="n"/>
      <c r="H185" s="366" t="n"/>
      <c r="I185" s="366" t="n"/>
      <c r="J185" s="366" t="n"/>
      <c r="K185" s="366" t="n"/>
      <c r="L185" s="366" t="n"/>
      <c r="M185" s="366" t="n"/>
      <c r="N185" s="366" t="n"/>
      <c r="O185" s="366" t="n"/>
      <c r="P185" s="366" t="n"/>
      <c r="Q185" s="366" t="n"/>
      <c r="R185" s="366" t="n"/>
      <c r="S185" s="366" t="n"/>
      <c r="T185" s="366" t="n"/>
      <c r="U185" s="366" t="n"/>
      <c r="V185" s="366" t="n"/>
      <c r="W185" s="366" t="n"/>
      <c r="X185" s="366" t="n"/>
      <c r="Y185" s="366" t="n"/>
      <c r="Z185" s="366" t="n"/>
      <c r="AA185" s="366" t="n"/>
      <c r="AB185" s="366" t="n"/>
      <c r="AC185" s="366" t="n"/>
      <c r="AD185" s="366" t="n"/>
      <c r="AE185" s="366" t="n"/>
      <c r="AF185" s="366" t="n"/>
      <c r="AG185" s="366" t="n"/>
      <c r="AH185" s="366" t="n"/>
      <c r="AI185" s="366" t="n"/>
      <c r="AJ185" s="154">
        <f>SUM(E185:AI185)</f>
        <v/>
      </c>
      <c r="AK185" s="154">
        <f>AJ185*D185</f>
        <v/>
      </c>
    </row>
    <row r="186" ht="25" customHeight="1">
      <c r="A186" s="171" t="inlineStr">
        <is>
          <r>
            <t>2.เตรียม/จัดเก็บ</t>
          </r>
          <r>
            <rPr>
              <rFont val="TH SarabunPSK"/>
              <family val="2"/>
              <b val="1"/>
              <color theme="1"/>
              <sz val="16"/>
            </rPr>
            <t>ห้องสอบหัตถารทางคลินิก แบบรวมสถานการณ์</t>
          </r>
        </is>
      </c>
      <c r="B186" s="163" t="inlineStr">
        <is>
          <t>ครั้ง</t>
        </is>
      </c>
      <c r="C186" s="163" t="n">
        <v>90</v>
      </c>
      <c r="D186" s="177">
        <f>C186*0.143</f>
        <v/>
      </c>
      <c r="E186" s="364" t="n"/>
      <c r="F186" s="364" t="n"/>
      <c r="G186" s="364" t="n"/>
      <c r="H186" s="364" t="n"/>
      <c r="I186" s="364" t="n"/>
      <c r="J186" s="364" t="n"/>
      <c r="K186" s="364" t="n"/>
      <c r="L186" s="364" t="n"/>
      <c r="M186" s="364" t="n"/>
      <c r="N186" s="364" t="n"/>
      <c r="O186" s="364" t="n"/>
      <c r="P186" s="364" t="n"/>
      <c r="Q186" s="364" t="n"/>
      <c r="R186" s="364" t="n"/>
      <c r="S186" s="364" t="n"/>
      <c r="T186" s="364" t="n"/>
      <c r="U186" s="364" t="n"/>
      <c r="V186" s="364" t="n"/>
      <c r="W186" s="364" t="n"/>
      <c r="X186" s="364" t="n"/>
      <c r="Y186" s="364" t="n"/>
      <c r="Z186" s="364" t="n"/>
      <c r="AA186" s="364" t="n"/>
      <c r="AB186" s="364" t="n"/>
      <c r="AC186" s="364" t="n"/>
      <c r="AD186" s="364" t="n"/>
      <c r="AE186" s="364" t="n"/>
      <c r="AF186" s="364" t="n"/>
      <c r="AG186" s="364" t="n"/>
      <c r="AH186" s="364" t="n"/>
      <c r="AI186" s="364" t="n"/>
      <c r="AJ186" s="154">
        <f>SUM(E186:AI186)</f>
        <v/>
      </c>
      <c r="AK186" s="154">
        <f>AJ186*D186</f>
        <v/>
      </c>
    </row>
    <row r="187" ht="50" customHeight="1">
      <c r="A187" s="171" t="inlineStr">
        <is>
          <t>3.พัฒนาแอปพลิเคชันระบบฐานข้อมูลการเบิกยืมอุปกรณ์เพื่อใช้ในการฝึกหัตถการและสถานการณ์จำลองทางคลินิก</t>
        </is>
      </c>
      <c r="B187" s="163" t="inlineStr">
        <is>
          <t>วัน</t>
        </is>
      </c>
      <c r="C187" s="163" t="inlineStr">
        <is>
          <t>เหมา</t>
        </is>
      </c>
      <c r="D187" s="177" t="n">
        <v>30</v>
      </c>
      <c r="E187" s="364" t="n"/>
      <c r="F187" s="364" t="n"/>
      <c r="G187" s="364" t="n"/>
      <c r="H187" s="364" t="n"/>
      <c r="I187" s="364" t="n"/>
      <c r="J187" s="364" t="n"/>
      <c r="K187" s="364" t="n"/>
      <c r="L187" s="364" t="n"/>
      <c r="M187" s="364" t="n"/>
      <c r="N187" s="364" t="n"/>
      <c r="O187" s="364" t="n"/>
      <c r="P187" s="364" t="n"/>
      <c r="Q187" s="364" t="n"/>
      <c r="R187" s="364" t="n"/>
      <c r="S187" s="364" t="n"/>
      <c r="T187" s="364" t="n"/>
      <c r="U187" s="364" t="n"/>
      <c r="V187" s="364" t="n"/>
      <c r="W187" s="364" t="n"/>
      <c r="X187" s="364" t="n"/>
      <c r="Y187" s="364" t="n"/>
      <c r="Z187" s="364" t="n"/>
      <c r="AA187" s="364" t="n"/>
      <c r="AB187" s="364" t="n"/>
      <c r="AC187" s="364" t="n"/>
      <c r="AD187" s="364" t="n"/>
      <c r="AE187" s="364" t="n"/>
      <c r="AF187" s="364" t="n"/>
      <c r="AG187" s="364" t="n"/>
      <c r="AH187" s="364" t="n"/>
      <c r="AI187" s="364" t="n"/>
      <c r="AJ187" s="154">
        <f>SUM(E187:AI187)</f>
        <v/>
      </c>
      <c r="AK187" s="154">
        <f>AJ187*D187</f>
        <v/>
      </c>
    </row>
    <row r="188" ht="50" customHeight="1">
      <c r="A188" s="171" t="inlineStr">
        <is>
          <t>4.ทำทะเบียนการเบิก/ยืมรายการอุปกรณ์การฝึกหัตถการและสถานการณ์จำลองทางคลินิก</t>
        </is>
      </c>
      <c r="B188" s="163" t="inlineStr">
        <is>
          <t>วัน</t>
        </is>
      </c>
      <c r="C188" s="163" t="n">
        <v>15</v>
      </c>
      <c r="D188" s="177">
        <f>C188*0.143</f>
        <v/>
      </c>
      <c r="E188" s="364" t="n"/>
      <c r="F188" s="364" t="n"/>
      <c r="G188" s="364" t="n"/>
      <c r="H188" s="364" t="n"/>
      <c r="I188" s="364" t="n"/>
      <c r="J188" s="364" t="n"/>
      <c r="K188" s="364" t="n"/>
      <c r="L188" s="364" t="n"/>
      <c r="M188" s="364" t="n"/>
      <c r="N188" s="364" t="n"/>
      <c r="O188" s="364" t="n"/>
      <c r="P188" s="364" t="n"/>
      <c r="Q188" s="364" t="n"/>
      <c r="R188" s="364" t="n"/>
      <c r="S188" s="364" t="n"/>
      <c r="T188" s="364" t="n"/>
      <c r="U188" s="364" t="n"/>
      <c r="V188" s="364" t="n"/>
      <c r="W188" s="364" t="n"/>
      <c r="X188" s="364" t="n"/>
      <c r="Y188" s="364" t="n"/>
      <c r="Z188" s="364" t="n"/>
      <c r="AA188" s="364" t="n"/>
      <c r="AB188" s="364" t="n"/>
      <c r="AC188" s="364" t="n"/>
      <c r="AD188" s="364" t="n"/>
      <c r="AE188" s="364" t="n"/>
      <c r="AF188" s="364" t="n"/>
      <c r="AG188" s="364" t="n"/>
      <c r="AH188" s="364" t="n"/>
      <c r="AI188" s="364" t="n"/>
      <c r="AJ188" s="154">
        <f>SUM(E188:AI188)</f>
        <v/>
      </c>
      <c r="AK188" s="154">
        <f>AJ188*D188</f>
        <v/>
      </c>
    </row>
    <row r="189" ht="50" customHeight="1">
      <c r="A189" s="171" t="inlineStr">
        <is>
          <t>5.ให้ความช่วยเหลือและแนะนำการแก้ปัญหาแก่ผู้ใช้งานห้องฝึกหัตถการและสถานการณ์จำลองทางคลินิก</t>
        </is>
      </c>
      <c r="B189" s="163" t="inlineStr">
        <is>
          <t>ครั้ง</t>
        </is>
      </c>
      <c r="C189" s="163" t="n">
        <v>15</v>
      </c>
      <c r="D189" s="177">
        <f>C189*0.143</f>
        <v/>
      </c>
      <c r="E189" s="364" t="n"/>
      <c r="F189" s="364" t="n"/>
      <c r="G189" s="364" t="n"/>
      <c r="H189" s="364" t="n"/>
      <c r="I189" s="364" t="n"/>
      <c r="J189" s="364" t="n"/>
      <c r="K189" s="364" t="n"/>
      <c r="L189" s="364" t="n"/>
      <c r="M189" s="364" t="n"/>
      <c r="N189" s="364" t="n"/>
      <c r="O189" s="364" t="n"/>
      <c r="P189" s="364" t="n"/>
      <c r="Q189" s="364" t="n"/>
      <c r="R189" s="364" t="n"/>
      <c r="S189" s="364" t="n"/>
      <c r="T189" s="364" t="n"/>
      <c r="U189" s="364" t="n"/>
      <c r="V189" s="364" t="n"/>
      <c r="W189" s="364" t="n"/>
      <c r="X189" s="364" t="n"/>
      <c r="Y189" s="364" t="n"/>
      <c r="Z189" s="364" t="n"/>
      <c r="AA189" s="364" t="n"/>
      <c r="AB189" s="364" t="n"/>
      <c r="AC189" s="364" t="n"/>
      <c r="AD189" s="364" t="n"/>
      <c r="AE189" s="364" t="n"/>
      <c r="AF189" s="364" t="n"/>
      <c r="AG189" s="364" t="n"/>
      <c r="AH189" s="364" t="n"/>
      <c r="AI189" s="364" t="n"/>
      <c r="AJ189" s="154">
        <f>SUM(E189:AI189)</f>
        <v/>
      </c>
      <c r="AK189" s="154">
        <f>AJ189*D189</f>
        <v/>
      </c>
    </row>
    <row r="190" ht="75" customHeight="1">
      <c r="A190" s="182" t="inlineStr">
        <is>
          <t>6.การจัดการดูแลรักษาอุปกรณ์การฝึกหัตถการและสถานการณ์จำลองทางคลินิกตามห้วงเวลา หรือส่งซ่อมที่ชำรุด เปิดระบบ control KB Port</t>
        </is>
      </c>
      <c r="B190" s="172" t="inlineStr">
        <is>
          <t>วัน</t>
        </is>
      </c>
      <c r="C190" s="172" t="n">
        <v>20</v>
      </c>
      <c r="D190" s="179">
        <f>C190*0.143</f>
        <v/>
      </c>
      <c r="E190" s="365" t="n"/>
      <c r="F190" s="365" t="n"/>
      <c r="G190" s="365" t="n"/>
      <c r="H190" s="365" t="n"/>
      <c r="I190" s="365" t="n"/>
      <c r="J190" s="365" t="n"/>
      <c r="K190" s="365" t="n"/>
      <c r="L190" s="365" t="n"/>
      <c r="M190" s="365" t="n"/>
      <c r="N190" s="365" t="n"/>
      <c r="O190" s="365" t="n"/>
      <c r="P190" s="365" t="n"/>
      <c r="Q190" s="365" t="n"/>
      <c r="R190" s="365" t="n"/>
      <c r="S190" s="365" t="n"/>
      <c r="T190" s="365" t="n"/>
      <c r="U190" s="365" t="n"/>
      <c r="V190" s="365" t="n"/>
      <c r="W190" s="365" t="n"/>
      <c r="X190" s="365" t="n"/>
      <c r="Y190" s="365" t="n"/>
      <c r="Z190" s="365" t="n"/>
      <c r="AA190" s="365" t="n"/>
      <c r="AB190" s="365" t="n"/>
      <c r="AC190" s="365" t="n"/>
      <c r="AD190" s="365" t="n"/>
      <c r="AE190" s="365" t="n"/>
      <c r="AF190" s="365" t="n"/>
      <c r="AG190" s="365" t="n"/>
      <c r="AH190" s="365" t="n"/>
      <c r="AI190" s="365" t="n"/>
      <c r="AJ190" s="157">
        <f>SUM(E190:AI190)</f>
        <v/>
      </c>
      <c r="AK190" s="157">
        <f>AJ190*D190</f>
        <v/>
      </c>
    </row>
    <row r="191" ht="25" customHeight="1">
      <c r="A191" s="182" t="inlineStr">
        <is>
          <t>7.เตรียมผู้ป่วยจำลอง</t>
        </is>
      </c>
      <c r="B191" s="172" t="inlineStr">
        <is>
          <t>รอบ</t>
        </is>
      </c>
      <c r="C191" s="172" t="inlineStr">
        <is>
          <t>เหมา</t>
        </is>
      </c>
      <c r="D191" s="179" t="n">
        <v>10</v>
      </c>
      <c r="E191" s="365" t="n"/>
      <c r="F191" s="365" t="n"/>
      <c r="G191" s="365" t="n"/>
      <c r="H191" s="365" t="n"/>
      <c r="I191" s="365" t="n"/>
      <c r="J191" s="365" t="n"/>
      <c r="K191" s="365" t="n"/>
      <c r="L191" s="365" t="n"/>
      <c r="M191" s="365" t="n"/>
      <c r="N191" s="365" t="n"/>
      <c r="O191" s="365" t="n"/>
      <c r="P191" s="365" t="n"/>
      <c r="Q191" s="365" t="n"/>
      <c r="R191" s="365" t="n"/>
      <c r="S191" s="365" t="n"/>
      <c r="T191" s="365" t="n"/>
      <c r="U191" s="365" t="n"/>
      <c r="V191" s="365" t="n"/>
      <c r="W191" s="365" t="n"/>
      <c r="X191" s="365" t="n"/>
      <c r="Y191" s="365" t="n"/>
      <c r="Z191" s="365" t="n"/>
      <c r="AA191" s="365" t="n"/>
      <c r="AB191" s="365" t="n"/>
      <c r="AC191" s="365" t="n"/>
      <c r="AD191" s="365" t="n"/>
      <c r="AE191" s="365" t="n"/>
      <c r="AF191" s="365" t="n"/>
      <c r="AG191" s="365" t="n"/>
      <c r="AH191" s="365" t="n"/>
      <c r="AI191" s="365" t="n"/>
      <c r="AJ191" s="180">
        <f>SUM(E191:AI191)</f>
        <v/>
      </c>
      <c r="AK191" s="180">
        <f>AJ191*D191</f>
        <v/>
      </c>
    </row>
    <row r="192" ht="50" customHeight="1">
      <c r="A192" s="158" t="inlineStr">
        <is>
          <t>งานบริการเทคโนโลยีสารสนเทศ เว็บไซต์ Facebook ระบบอีเมล์</t>
        </is>
      </c>
      <c r="B192" s="159" t="n"/>
      <c r="C192" s="160" t="n"/>
      <c r="D192" s="181" t="n"/>
      <c r="E192" s="634" t="n"/>
      <c r="F192" s="634" t="n"/>
      <c r="G192" s="634" t="n"/>
      <c r="H192" s="634" t="n"/>
      <c r="I192" s="634" t="n"/>
      <c r="J192" s="634" t="n"/>
      <c r="K192" s="634" t="n"/>
      <c r="L192" s="634" t="n"/>
      <c r="M192" s="634" t="n"/>
      <c r="N192" s="634" t="n"/>
      <c r="O192" s="634" t="n"/>
      <c r="P192" s="634" t="n"/>
      <c r="Q192" s="634" t="n"/>
      <c r="R192" s="634" t="n"/>
      <c r="S192" s="634" t="n"/>
      <c r="T192" s="634" t="n"/>
      <c r="U192" s="634" t="n"/>
      <c r="V192" s="634" t="n"/>
      <c r="W192" s="634" t="n"/>
      <c r="X192" s="634" t="n"/>
      <c r="Y192" s="634" t="n"/>
      <c r="Z192" s="634" t="n"/>
      <c r="AA192" s="634" t="n"/>
      <c r="AB192" s="634" t="n"/>
      <c r="AC192" s="634" t="n"/>
      <c r="AD192" s="634" t="n"/>
      <c r="AE192" s="634" t="n"/>
      <c r="AF192" s="634" t="n"/>
      <c r="AG192" s="634" t="n"/>
      <c r="AH192" s="634" t="n"/>
      <c r="AI192" s="634" t="n"/>
      <c r="AJ192" s="148" t="n"/>
      <c r="AK192" s="620" t="n"/>
    </row>
    <row r="193" ht="25" customHeight="1">
      <c r="A193" s="162" t="inlineStr">
        <is>
          <t>1.การจัดการ และตั้งค่าระบบ ZOOM ศูนย์แพทยศาสตรศึกษา</t>
        </is>
      </c>
      <c r="B193" s="174" t="inlineStr">
        <is>
          <t>ครั้ง</t>
        </is>
      </c>
      <c r="C193" s="174" t="n">
        <v>5</v>
      </c>
      <c r="D193" s="175">
        <f>C193*0.143</f>
        <v/>
      </c>
      <c r="E193" s="366" t="n"/>
      <c r="F193" s="366" t="n"/>
      <c r="G193" s="366" t="n"/>
      <c r="H193" s="366" t="n"/>
      <c r="I193" s="366" t="n"/>
      <c r="J193" s="366" t="n"/>
      <c r="K193" s="366" t="n"/>
      <c r="L193" s="366" t="n"/>
      <c r="M193" s="366" t="n"/>
      <c r="N193" s="366" t="n"/>
      <c r="O193" s="366" t="n"/>
      <c r="P193" s="366" t="n"/>
      <c r="Q193" s="366" t="n"/>
      <c r="R193" s="366" t="n"/>
      <c r="S193" s="366" t="n"/>
      <c r="T193" s="366" t="n"/>
      <c r="U193" s="366" t="n"/>
      <c r="V193" s="366" t="n"/>
      <c r="W193" s="366" t="n"/>
      <c r="X193" s="366" t="n"/>
      <c r="Y193" s="366" t="n"/>
      <c r="Z193" s="366" t="n"/>
      <c r="AA193" s="366" t="n"/>
      <c r="AB193" s="366" t="n"/>
      <c r="AC193" s="366" t="n"/>
      <c r="AD193" s="366" t="n"/>
      <c r="AE193" s="366" t="n"/>
      <c r="AF193" s="366" t="n"/>
      <c r="AG193" s="366" t="n"/>
      <c r="AH193" s="366" t="n"/>
      <c r="AI193" s="366" t="n"/>
      <c r="AJ193" s="154">
        <f>SUM(E193:AI193)</f>
        <v/>
      </c>
      <c r="AK193" s="154">
        <f>AJ193*D193</f>
        <v/>
      </c>
    </row>
    <row r="194" ht="50" customHeight="1">
      <c r="A194" s="162" t="inlineStr">
        <is>
          <t xml:space="preserve">2.การบันทึกไฟล์การสอน ประชุม หรือกล้องวงจรปิดผ่านระบบออนไลน์ใน Drive </t>
        </is>
      </c>
      <c r="B194" s="163" t="inlineStr">
        <is>
          <t>ครั้ง</t>
        </is>
      </c>
      <c r="C194" s="163" t="n">
        <v>5</v>
      </c>
      <c r="D194" s="177">
        <f>C194*0.143</f>
        <v/>
      </c>
      <c r="E194" s="364" t="n"/>
      <c r="F194" s="364" t="n"/>
      <c r="G194" s="364" t="n"/>
      <c r="H194" s="364" t="n"/>
      <c r="I194" s="364" t="n"/>
      <c r="J194" s="364" t="n"/>
      <c r="K194" s="364" t="n"/>
      <c r="L194" s="364" t="n"/>
      <c r="M194" s="364" t="n"/>
      <c r="N194" s="364" t="n"/>
      <c r="O194" s="364" t="n"/>
      <c r="P194" s="364" t="n"/>
      <c r="Q194" s="364" t="n"/>
      <c r="R194" s="364" t="n"/>
      <c r="S194" s="364" t="n"/>
      <c r="T194" s="364" t="n"/>
      <c r="U194" s="364" t="n"/>
      <c r="V194" s="364" t="n"/>
      <c r="W194" s="364" t="n"/>
      <c r="X194" s="364" t="n"/>
      <c r="Y194" s="364" t="n"/>
      <c r="Z194" s="364" t="n"/>
      <c r="AA194" s="364" t="n"/>
      <c r="AB194" s="364" t="n"/>
      <c r="AC194" s="364" t="n"/>
      <c r="AD194" s="364" t="n"/>
      <c r="AE194" s="364" t="n"/>
      <c r="AF194" s="364" t="n"/>
      <c r="AG194" s="364" t="n"/>
      <c r="AH194" s="364" t="n"/>
      <c r="AI194" s="364" t="n"/>
      <c r="AJ194" s="154">
        <f>SUM(E194:AI194)</f>
        <v/>
      </c>
      <c r="AK194" s="154">
        <f>AJ194*D194</f>
        <v/>
      </c>
    </row>
    <row r="195" ht="25" customHeight="1">
      <c r="A195" s="162" t="inlineStr">
        <is>
          <t>3.การบันทึกภาพนิ่งหรือวิดิโอในกิจกรรมต่างๆ</t>
        </is>
      </c>
      <c r="B195" s="163" t="inlineStr">
        <is>
          <t>ครั้ง</t>
        </is>
      </c>
      <c r="C195" s="163" t="n">
        <v>60</v>
      </c>
      <c r="D195" s="177">
        <f>C195*0.143</f>
        <v/>
      </c>
      <c r="E195" s="364" t="n"/>
      <c r="F195" s="364" t="n"/>
      <c r="G195" s="364" t="n"/>
      <c r="H195" s="364" t="n"/>
      <c r="I195" s="364" t="n"/>
      <c r="J195" s="364" t="n"/>
      <c r="K195" s="364" t="n"/>
      <c r="L195" s="364" t="n"/>
      <c r="M195" s="364" t="n"/>
      <c r="N195" s="364" t="n"/>
      <c r="O195" s="364" t="n"/>
      <c r="P195" s="364" t="n"/>
      <c r="Q195" s="364" t="n"/>
      <c r="R195" s="364" t="n"/>
      <c r="S195" s="364" t="n"/>
      <c r="T195" s="364" t="n"/>
      <c r="U195" s="364" t="n"/>
      <c r="V195" s="364" t="n"/>
      <c r="W195" s="364" t="n"/>
      <c r="X195" s="364" t="n"/>
      <c r="Y195" s="364" t="n"/>
      <c r="Z195" s="364" t="n"/>
      <c r="AA195" s="364" t="n"/>
      <c r="AB195" s="364" t="n"/>
      <c r="AC195" s="364" t="n"/>
      <c r="AD195" s="364" t="n"/>
      <c r="AE195" s="364" t="n"/>
      <c r="AF195" s="364" t="n"/>
      <c r="AG195" s="364" t="n"/>
      <c r="AH195" s="364" t="n"/>
      <c r="AI195" s="364" t="n"/>
      <c r="AJ195" s="154">
        <f>SUM(E195:AI195)</f>
        <v/>
      </c>
      <c r="AK195" s="154">
        <f>AJ195*D195</f>
        <v/>
      </c>
    </row>
    <row r="196" ht="50" customHeight="1">
      <c r="A196" s="162" t="inlineStr">
        <is>
          <t>4.การ Update ข้อมูล Facebook website หรือ ไลน์ หน่วยงาน</t>
        </is>
      </c>
      <c r="B196" s="163" t="inlineStr">
        <is>
          <t>ครั้ง</t>
        </is>
      </c>
      <c r="C196" s="163" t="n">
        <v>10</v>
      </c>
      <c r="D196" s="177">
        <f>C196*0.143</f>
        <v/>
      </c>
      <c r="E196" s="364" t="n"/>
      <c r="F196" s="364" t="n"/>
      <c r="G196" s="364" t="n"/>
      <c r="H196" s="364" t="n"/>
      <c r="I196" s="364" t="n"/>
      <c r="J196" s="364" t="n"/>
      <c r="K196" s="364" t="n"/>
      <c r="L196" s="364" t="n"/>
      <c r="M196" s="364" t="n"/>
      <c r="N196" s="364" t="n"/>
      <c r="O196" s="364" t="n"/>
      <c r="P196" s="364" t="n"/>
      <c r="Q196" s="364" t="n"/>
      <c r="R196" s="364" t="n"/>
      <c r="S196" s="364" t="n"/>
      <c r="T196" s="364" t="n"/>
      <c r="U196" s="364" t="n"/>
      <c r="V196" s="364" t="n"/>
      <c r="W196" s="364" t="n"/>
      <c r="X196" s="364" t="n"/>
      <c r="Y196" s="364" t="n"/>
      <c r="Z196" s="364" t="n"/>
      <c r="AA196" s="364" t="n"/>
      <c r="AB196" s="364" t="n"/>
      <c r="AC196" s="364" t="n"/>
      <c r="AD196" s="364" t="n"/>
      <c r="AE196" s="364" t="n"/>
      <c r="AF196" s="364" t="n"/>
      <c r="AG196" s="364" t="n"/>
      <c r="AH196" s="364" t="n"/>
      <c r="AI196" s="364" t="n"/>
      <c r="AJ196" s="154">
        <f>SUM(E196:AI196)</f>
        <v/>
      </c>
      <c r="AK196" s="154">
        <f>AJ196*D196</f>
        <v/>
      </c>
    </row>
    <row r="197" ht="25" customHeight="1">
      <c r="A197" s="162" t="inlineStr">
        <is>
          <t>5.การนำเข้าข้อมูลผู้ใช้งานระบบอีเมล์</t>
        </is>
      </c>
      <c r="B197" s="163" t="inlineStr">
        <is>
          <t>ราย</t>
        </is>
      </c>
      <c r="C197" s="163" t="n">
        <v>5</v>
      </c>
      <c r="D197" s="177">
        <f>C197*0.143</f>
        <v/>
      </c>
      <c r="E197" s="364" t="n"/>
      <c r="F197" s="364" t="n"/>
      <c r="G197" s="364" t="n"/>
      <c r="H197" s="364" t="n"/>
      <c r="I197" s="364" t="n"/>
      <c r="J197" s="364" t="n"/>
      <c r="K197" s="364" t="n"/>
      <c r="L197" s="364" t="n"/>
      <c r="M197" s="364" t="n"/>
      <c r="N197" s="364" t="n"/>
      <c r="O197" s="364" t="n"/>
      <c r="P197" s="364" t="n"/>
      <c r="Q197" s="364" t="n"/>
      <c r="R197" s="364" t="n"/>
      <c r="S197" s="364" t="n"/>
      <c r="T197" s="364" t="n"/>
      <c r="U197" s="364" t="n"/>
      <c r="V197" s="364" t="n"/>
      <c r="W197" s="364" t="n"/>
      <c r="X197" s="364" t="n"/>
      <c r="Y197" s="364" t="n"/>
      <c r="Z197" s="364" t="n"/>
      <c r="AA197" s="364" t="n"/>
      <c r="AB197" s="364" t="n"/>
      <c r="AC197" s="364" t="n"/>
      <c r="AD197" s="364" t="n"/>
      <c r="AE197" s="364" t="n"/>
      <c r="AF197" s="364" t="n"/>
      <c r="AG197" s="364" t="n"/>
      <c r="AH197" s="364" t="n"/>
      <c r="AI197" s="364" t="n"/>
      <c r="AJ197" s="154">
        <f>SUM(E197:AI197)</f>
        <v/>
      </c>
      <c r="AK197" s="154">
        <f>AJ197*D197</f>
        <v/>
      </c>
    </row>
    <row r="198" ht="50" customHeight="1">
      <c r="A198" s="178" t="inlineStr">
        <is>
          <t>6.การช่วยเหลือและให้คำแนะนำเกี่ยวกับงานสารสนเทศ สื่อการเรียนรู้ ระบบอีเมล์</t>
        </is>
      </c>
      <c r="B198" s="163" t="inlineStr">
        <is>
          <t>ครั้ง</t>
        </is>
      </c>
      <c r="C198" s="163" t="n">
        <v>15</v>
      </c>
      <c r="D198" s="177">
        <f>C198*0.143</f>
        <v/>
      </c>
      <c r="E198" s="364" t="n"/>
      <c r="F198" s="364" t="n"/>
      <c r="G198" s="364" t="n"/>
      <c r="H198" s="364" t="n"/>
      <c r="I198" s="364" t="n"/>
      <c r="J198" s="364" t="n"/>
      <c r="K198" s="364" t="n"/>
      <c r="L198" s="364" t="n"/>
      <c r="M198" s="364" t="n"/>
      <c r="N198" s="364" t="n"/>
      <c r="O198" s="364" t="n"/>
      <c r="P198" s="364" t="n"/>
      <c r="Q198" s="364" t="n"/>
      <c r="R198" s="364" t="n"/>
      <c r="S198" s="364" t="n"/>
      <c r="T198" s="364" t="n"/>
      <c r="U198" s="364" t="n"/>
      <c r="V198" s="364" t="n"/>
      <c r="W198" s="364" t="n"/>
      <c r="X198" s="364" t="n"/>
      <c r="Y198" s="364" t="n"/>
      <c r="Z198" s="364" t="n"/>
      <c r="AA198" s="364" t="n"/>
      <c r="AB198" s="364" t="n"/>
      <c r="AC198" s="364" t="n"/>
      <c r="AD198" s="364" t="n"/>
      <c r="AE198" s="364" t="n"/>
      <c r="AF198" s="364" t="n"/>
      <c r="AG198" s="364" t="n"/>
      <c r="AH198" s="364" t="n"/>
      <c r="AI198" s="364" t="n"/>
      <c r="AJ198" s="154">
        <f>SUM(E198:AI198)</f>
        <v/>
      </c>
      <c r="AK198" s="154">
        <f>AJ198*D198</f>
        <v/>
      </c>
    </row>
    <row r="199">
      <c r="A199" s="367" t="inlineStr">
        <is>
          <t>7.การดูแลรักษาความปลอดภัยและการเข้าถึงไฟล์ระบบกล้องวงจรปิด</t>
        </is>
      </c>
      <c r="B199" s="163" t="inlineStr">
        <is>
          <t>ครั้ง</t>
        </is>
      </c>
      <c r="C199" s="163" t="n">
        <v>30</v>
      </c>
      <c r="D199" s="177">
        <f>C199*0.143</f>
        <v/>
      </c>
      <c r="E199" s="364" t="n"/>
      <c r="F199" s="364" t="n"/>
      <c r="G199" s="364" t="n"/>
      <c r="H199" s="364" t="n"/>
      <c r="I199" s="364" t="n"/>
      <c r="J199" s="364" t="n"/>
      <c r="K199" s="364" t="n"/>
      <c r="L199" s="364" t="n"/>
      <c r="M199" s="364" t="n"/>
      <c r="N199" s="364" t="n"/>
      <c r="O199" s="364" t="n"/>
      <c r="P199" s="364" t="n"/>
      <c r="Q199" s="364" t="n"/>
      <c r="R199" s="364" t="n"/>
      <c r="S199" s="364" t="n"/>
      <c r="T199" s="364" t="n"/>
      <c r="U199" s="364" t="n"/>
      <c r="V199" s="364" t="n"/>
      <c r="W199" s="364" t="n"/>
      <c r="X199" s="364" t="n"/>
      <c r="Y199" s="364" t="n"/>
      <c r="Z199" s="364" t="n"/>
      <c r="AA199" s="364" t="n"/>
      <c r="AB199" s="364" t="n"/>
      <c r="AC199" s="364" t="n"/>
      <c r="AD199" s="364" t="n"/>
      <c r="AE199" s="364" t="n"/>
      <c r="AF199" s="364" t="n"/>
      <c r="AG199" s="364" t="n"/>
      <c r="AH199" s="364" t="n"/>
      <c r="AI199" s="364" t="n"/>
      <c r="AJ199" s="154">
        <f>SUM(E199:AI199)</f>
        <v/>
      </c>
      <c r="AK199" s="154">
        <f>AJ199*D199</f>
        <v/>
      </c>
    </row>
    <row r="200" ht="25" customHeight="1">
      <c r="A200" s="178" t="inlineStr">
        <is>
          <t>8.ทำทะเบียนเบิก/ยืมรายการอุปกรณ์เทคโนโลยีสารสนเทศ</t>
        </is>
      </c>
      <c r="B200" s="163" t="inlineStr">
        <is>
          <t>วัน</t>
        </is>
      </c>
      <c r="C200" s="163" t="n">
        <v>15</v>
      </c>
      <c r="D200" s="177">
        <f>C200*0.143</f>
        <v/>
      </c>
      <c r="E200" s="364" t="n"/>
      <c r="F200" s="364" t="n"/>
      <c r="G200" s="364" t="n"/>
      <c r="H200" s="364" t="n"/>
      <c r="I200" s="364" t="n"/>
      <c r="J200" s="364" t="n"/>
      <c r="K200" s="364" t="n"/>
      <c r="L200" s="364" t="n"/>
      <c r="M200" s="364" t="n"/>
      <c r="N200" s="364" t="n"/>
      <c r="O200" s="364" t="n"/>
      <c r="P200" s="364" t="n"/>
      <c r="Q200" s="364" t="n"/>
      <c r="R200" s="364" t="n"/>
      <c r="S200" s="364" t="n"/>
      <c r="T200" s="364" t="n"/>
      <c r="U200" s="364" t="n"/>
      <c r="V200" s="364" t="n"/>
      <c r="W200" s="364" t="n"/>
      <c r="X200" s="364" t="n"/>
      <c r="Y200" s="364" t="n"/>
      <c r="Z200" s="364" t="n"/>
      <c r="AA200" s="364" t="n"/>
      <c r="AB200" s="364" t="n"/>
      <c r="AC200" s="364" t="n"/>
      <c r="AD200" s="364" t="n"/>
      <c r="AE200" s="364" t="n"/>
      <c r="AF200" s="364" t="n"/>
      <c r="AG200" s="364" t="n"/>
      <c r="AH200" s="364" t="n"/>
      <c r="AI200" s="364" t="n"/>
      <c r="AJ200" s="154">
        <f>SUM(E200:AI200)</f>
        <v/>
      </c>
      <c r="AK200" s="154">
        <f>AJ200*D200</f>
        <v/>
      </c>
    </row>
    <row r="201" ht="75" customHeight="1">
      <c r="A201" s="178" t="inlineStr">
        <is>
          <t>9.นำข้อมูลเข้าระบบฐานข้อมูลเบิกยืมอุปกรณ์เทคโนโลยีสารสนเทศ ดูแลและจัดการการใช้งานระบบเบิกยืมอุปกรณ์เทคโนโลยีสารสนเทศ</t>
        </is>
      </c>
      <c r="B201" s="172" t="inlineStr">
        <is>
          <t xml:space="preserve">ครั้ง </t>
        </is>
      </c>
      <c r="C201" s="172" t="n">
        <v>15</v>
      </c>
      <c r="D201" s="179">
        <f>C201*0.143</f>
        <v/>
      </c>
      <c r="E201" s="365" t="n"/>
      <c r="F201" s="365" t="n"/>
      <c r="G201" s="365" t="n"/>
      <c r="H201" s="365" t="n"/>
      <c r="I201" s="365" t="n"/>
      <c r="J201" s="365" t="n"/>
      <c r="K201" s="365" t="n"/>
      <c r="L201" s="365" t="n"/>
      <c r="M201" s="365" t="n"/>
      <c r="N201" s="365" t="n"/>
      <c r="O201" s="365" t="n"/>
      <c r="P201" s="365" t="n"/>
      <c r="Q201" s="365" t="n"/>
      <c r="R201" s="365" t="n"/>
      <c r="S201" s="365" t="n"/>
      <c r="T201" s="365" t="n"/>
      <c r="U201" s="365" t="n"/>
      <c r="V201" s="365" t="n"/>
      <c r="W201" s="365" t="n"/>
      <c r="X201" s="365" t="n"/>
      <c r="Y201" s="365" t="n"/>
      <c r="Z201" s="365" t="n"/>
      <c r="AA201" s="365" t="n"/>
      <c r="AB201" s="365" t="n"/>
      <c r="AC201" s="365" t="n"/>
      <c r="AD201" s="365" t="n"/>
      <c r="AE201" s="365" t="n"/>
      <c r="AF201" s="365" t="n"/>
      <c r="AG201" s="365" t="n"/>
      <c r="AH201" s="365" t="n"/>
      <c r="AI201" s="365" t="n"/>
      <c r="AJ201" s="180">
        <f>SUM(E201:AI201)</f>
        <v/>
      </c>
      <c r="AK201" s="180">
        <f>AJ201*D201</f>
        <v/>
      </c>
    </row>
    <row r="202" ht="25" customHeight="1">
      <c r="A202" s="158" t="inlineStr">
        <is>
          <t>งานบริการห้องสมุด และ ฐานข้อมูลการสืบค้น</t>
        </is>
      </c>
      <c r="B202" s="159" t="n"/>
      <c r="C202" s="160" t="n"/>
      <c r="D202" s="181" t="n"/>
      <c r="E202" s="634" t="n"/>
      <c r="F202" s="634" t="n"/>
      <c r="G202" s="634" t="n"/>
      <c r="H202" s="634" t="n"/>
      <c r="I202" s="634" t="n"/>
      <c r="J202" s="634" t="n"/>
      <c r="K202" s="634" t="n"/>
      <c r="L202" s="634" t="n"/>
      <c r="M202" s="634" t="n"/>
      <c r="N202" s="634" t="n"/>
      <c r="O202" s="634" t="n"/>
      <c r="P202" s="634" t="n"/>
      <c r="Q202" s="634" t="n"/>
      <c r="R202" s="634" t="n"/>
      <c r="S202" s="634" t="n"/>
      <c r="T202" s="634" t="n"/>
      <c r="U202" s="634" t="n"/>
      <c r="V202" s="634" t="n"/>
      <c r="W202" s="634" t="n"/>
      <c r="X202" s="634" t="n"/>
      <c r="Y202" s="634" t="n"/>
      <c r="Z202" s="634" t="n"/>
      <c r="AA202" s="634" t="n"/>
      <c r="AB202" s="634" t="n"/>
      <c r="AC202" s="634" t="n"/>
      <c r="AD202" s="634" t="n"/>
      <c r="AE202" s="634" t="n"/>
      <c r="AF202" s="634" t="n"/>
      <c r="AG202" s="634" t="n"/>
      <c r="AH202" s="634" t="n"/>
      <c r="AI202" s="634" t="n"/>
      <c r="AJ202" s="148" t="n"/>
      <c r="AK202" s="620" t="n"/>
    </row>
    <row r="203" ht="50" customHeight="1">
      <c r="A203" s="171" t="inlineStr">
        <is>
          <t>1.สร้างแบบสำรวจ แบบประเมินความต้องการ หรือประเมินความพึงพอใจผู้ใช้บริการงานห้องสมุด</t>
        </is>
      </c>
      <c r="B203" s="174" t="inlineStr">
        <is>
          <t>ฟอร์ม</t>
        </is>
      </c>
      <c r="C203" s="174" t="n">
        <v>15</v>
      </c>
      <c r="D203" s="175">
        <f>C203*0.143</f>
        <v/>
      </c>
      <c r="E203" s="366" t="n"/>
      <c r="F203" s="366" t="n"/>
      <c r="G203" s="366" t="n"/>
      <c r="H203" s="366" t="n"/>
      <c r="I203" s="366" t="n"/>
      <c r="J203" s="366" t="n"/>
      <c r="K203" s="366" t="n"/>
      <c r="L203" s="366" t="n"/>
      <c r="M203" s="366" t="n"/>
      <c r="N203" s="366" t="n"/>
      <c r="O203" s="366" t="n"/>
      <c r="P203" s="366" t="n"/>
      <c r="Q203" s="366" t="n"/>
      <c r="R203" s="366" t="n"/>
      <c r="S203" s="366" t="n"/>
      <c r="T203" s="366" t="n"/>
      <c r="U203" s="366" t="n"/>
      <c r="V203" s="366" t="n"/>
      <c r="W203" s="366" t="n"/>
      <c r="X203" s="366" t="n"/>
      <c r="Y203" s="366" t="n"/>
      <c r="Z203" s="366" t="n"/>
      <c r="AA203" s="366" t="n"/>
      <c r="AB203" s="366" t="n"/>
      <c r="AC203" s="366" t="n"/>
      <c r="AD203" s="366" t="n"/>
      <c r="AE203" s="366" t="n"/>
      <c r="AF203" s="366" t="n"/>
      <c r="AG203" s="366" t="n"/>
      <c r="AH203" s="366" t="n"/>
      <c r="AI203" s="366" t="n"/>
      <c r="AJ203" s="154">
        <f>SUM(E203:AI203)</f>
        <v/>
      </c>
      <c r="AK203" s="154">
        <f>AJ203*D203</f>
        <v/>
      </c>
    </row>
    <row r="204" ht="25" customHeight="1">
      <c r="A204" s="164" t="inlineStr">
        <is>
          <t>2.ทำทะเบียนรายการ หนังสือ ตำรา ฐานข้อมูลเพื่อการสืบค้น</t>
        </is>
      </c>
      <c r="B204" s="163" t="inlineStr">
        <is>
          <t>เล่ม</t>
        </is>
      </c>
      <c r="C204" s="163" t="n">
        <v>10</v>
      </c>
      <c r="D204" s="177">
        <f>C204*0.143</f>
        <v/>
      </c>
      <c r="E204" s="364" t="n"/>
      <c r="F204" s="364" t="n"/>
      <c r="G204" s="364" t="n"/>
      <c r="H204" s="364" t="n"/>
      <c r="I204" s="364" t="n"/>
      <c r="J204" s="364" t="n"/>
      <c r="K204" s="364" t="n"/>
      <c r="L204" s="364" t="n"/>
      <c r="M204" s="364" t="n"/>
      <c r="N204" s="364" t="n"/>
      <c r="O204" s="364" t="n"/>
      <c r="P204" s="364" t="n"/>
      <c r="Q204" s="364" t="n"/>
      <c r="R204" s="364" t="n"/>
      <c r="S204" s="364" t="n"/>
      <c r="T204" s="364" t="n"/>
      <c r="U204" s="364" t="n"/>
      <c r="V204" s="364" t="n"/>
      <c r="W204" s="364" t="n"/>
      <c r="X204" s="364" t="n"/>
      <c r="Y204" s="364" t="n"/>
      <c r="Z204" s="364" t="n"/>
      <c r="AA204" s="364" t="n"/>
      <c r="AB204" s="364" t="n"/>
      <c r="AC204" s="364" t="n"/>
      <c r="AD204" s="364" t="n"/>
      <c r="AE204" s="364" t="n"/>
      <c r="AF204" s="364" t="n"/>
      <c r="AG204" s="364" t="n"/>
      <c r="AH204" s="364" t="n"/>
      <c r="AI204" s="364" t="n"/>
      <c r="AJ204" s="154">
        <f>SUM(E204:AI204)</f>
        <v/>
      </c>
      <c r="AK204" s="154">
        <f>AJ204*D204</f>
        <v/>
      </c>
    </row>
    <row r="205" ht="25" customHeight="1">
      <c r="A205" s="178" t="inlineStr">
        <is>
          <t>3.นำข้อมูลเข้าระบบฐานข้อมูลเบิกยืมหนังสือ ตำราห้องสมุด</t>
        </is>
      </c>
      <c r="B205" s="163" t="inlineStr">
        <is>
          <t>เล่ม</t>
        </is>
      </c>
      <c r="C205" s="163" t="n">
        <v>10</v>
      </c>
      <c r="D205" s="177">
        <f>C205*0.143</f>
        <v/>
      </c>
      <c r="E205" s="364" t="n"/>
      <c r="F205" s="364" t="n"/>
      <c r="G205" s="364" t="n"/>
      <c r="H205" s="364" t="n"/>
      <c r="I205" s="364" t="n"/>
      <c r="J205" s="364" t="n"/>
      <c r="K205" s="364" t="n"/>
      <c r="L205" s="364" t="n"/>
      <c r="M205" s="364" t="n"/>
      <c r="N205" s="364" t="n"/>
      <c r="O205" s="364" t="n"/>
      <c r="P205" s="364" t="n"/>
      <c r="Q205" s="364" t="n"/>
      <c r="R205" s="364" t="n"/>
      <c r="S205" s="364" t="n"/>
      <c r="T205" s="364" t="n"/>
      <c r="U205" s="364" t="n"/>
      <c r="V205" s="364" t="n"/>
      <c r="W205" s="364" t="n"/>
      <c r="X205" s="364" t="n"/>
      <c r="Y205" s="364" t="n"/>
      <c r="Z205" s="364" t="n"/>
      <c r="AA205" s="364" t="n"/>
      <c r="AB205" s="364" t="n"/>
      <c r="AC205" s="364" t="n"/>
      <c r="AD205" s="364" t="n"/>
      <c r="AE205" s="364" t="n"/>
      <c r="AF205" s="364" t="n"/>
      <c r="AG205" s="364" t="n"/>
      <c r="AH205" s="364" t="n"/>
      <c r="AI205" s="364" t="n"/>
      <c r="AJ205" s="154">
        <f>SUM(E205:AI205)</f>
        <v/>
      </c>
      <c r="AK205" s="154">
        <f>AJ205*D205</f>
        <v/>
      </c>
    </row>
    <row r="206" ht="25" customHeight="1">
      <c r="A206" s="178" t="inlineStr">
        <is>
          <t>4.พัฒนาและปรับปรุงแอฟพลิเคชันห้องสมุด (DEV)</t>
        </is>
      </c>
      <c r="B206" s="163" t="inlineStr">
        <is>
          <t>วัน</t>
        </is>
      </c>
      <c r="C206" s="163" t="inlineStr">
        <is>
          <t>เหมา</t>
        </is>
      </c>
      <c r="D206" s="177" t="n">
        <v>30</v>
      </c>
      <c r="E206" s="364" t="n"/>
      <c r="F206" s="364" t="n"/>
      <c r="G206" s="364" t="n"/>
      <c r="H206" s="364" t="n"/>
      <c r="I206" s="364" t="n"/>
      <c r="J206" s="364" t="n"/>
      <c r="K206" s="364" t="n"/>
      <c r="L206" s="364" t="n"/>
      <c r="M206" s="364" t="n"/>
      <c r="N206" s="364" t="n"/>
      <c r="O206" s="364" t="n"/>
      <c r="P206" s="364" t="n"/>
      <c r="Q206" s="364" t="n"/>
      <c r="R206" s="364" t="n"/>
      <c r="S206" s="364" t="n"/>
      <c r="T206" s="364" t="n"/>
      <c r="U206" s="364" t="n"/>
      <c r="V206" s="364" t="n"/>
      <c r="W206" s="364" t="n"/>
      <c r="X206" s="364" t="n"/>
      <c r="Y206" s="364" t="n"/>
      <c r="Z206" s="364" t="n"/>
      <c r="AA206" s="364" t="n"/>
      <c r="AB206" s="364" t="n"/>
      <c r="AC206" s="364" t="n"/>
      <c r="AD206" s="364" t="n"/>
      <c r="AE206" s="364" t="n"/>
      <c r="AF206" s="364" t="n"/>
      <c r="AG206" s="364" t="n"/>
      <c r="AH206" s="364" t="n"/>
      <c r="AI206" s="364" t="n"/>
      <c r="AJ206" s="154">
        <f>SUM(E206:AI206)</f>
        <v/>
      </c>
      <c r="AK206" s="154">
        <f>AJ206*D206</f>
        <v/>
      </c>
    </row>
    <row r="207" ht="50" customHeight="1">
      <c r="A207" s="178" t="inlineStr">
        <is>
          <t>5.ให้ความช่วยเหลือและแนะนำการแก้ปัญหาแก่ผู้ใช้บริการงานห้องสมุด</t>
        </is>
      </c>
      <c r="B207" s="163" t="inlineStr">
        <is>
          <t>ราย</t>
        </is>
      </c>
      <c r="C207" s="163" t="n">
        <v>5</v>
      </c>
      <c r="D207" s="177">
        <f>C207*0.143</f>
        <v/>
      </c>
      <c r="E207" s="364" t="n"/>
      <c r="F207" s="364" t="n"/>
      <c r="G207" s="364" t="n"/>
      <c r="H207" s="364" t="n"/>
      <c r="I207" s="364" t="n"/>
      <c r="J207" s="364" t="n"/>
      <c r="K207" s="364" t="n"/>
      <c r="L207" s="364" t="n"/>
      <c r="M207" s="364" t="n"/>
      <c r="N207" s="364" t="n"/>
      <c r="O207" s="364" t="n"/>
      <c r="P207" s="364" t="n"/>
      <c r="Q207" s="364" t="n"/>
      <c r="R207" s="364" t="n"/>
      <c r="S207" s="364" t="n"/>
      <c r="T207" s="364" t="n"/>
      <c r="U207" s="364" t="n"/>
      <c r="V207" s="364" t="n"/>
      <c r="W207" s="364" t="n"/>
      <c r="X207" s="364" t="n"/>
      <c r="Y207" s="364" t="n"/>
      <c r="Z207" s="364" t="n"/>
      <c r="AA207" s="364" t="n"/>
      <c r="AB207" s="364" t="n"/>
      <c r="AC207" s="364" t="n"/>
      <c r="AD207" s="364" t="n"/>
      <c r="AE207" s="364" t="n"/>
      <c r="AF207" s="364" t="n"/>
      <c r="AG207" s="364" t="n"/>
      <c r="AH207" s="364" t="n"/>
      <c r="AI207" s="364" t="n"/>
      <c r="AJ207" s="154">
        <f>SUM(E207:AI207)</f>
        <v/>
      </c>
      <c r="AK207" s="154">
        <f>AJ207*D207</f>
        <v/>
      </c>
    </row>
    <row r="208" ht="25" customHeight="1">
      <c r="A208" s="178" t="inlineStr">
        <is>
          <t>6.ช่วยสืบค้นหนังสือในระบบอิเล็กทรอนิกส์</t>
        </is>
      </c>
      <c r="B208" s="163" t="inlineStr">
        <is>
          <t>เล่ม</t>
        </is>
      </c>
      <c r="C208" s="163" t="n">
        <v>10</v>
      </c>
      <c r="D208" s="177">
        <f>C208*0.143</f>
        <v/>
      </c>
      <c r="E208" s="368" t="n"/>
      <c r="F208" s="364" t="n"/>
      <c r="G208" s="368" t="n"/>
      <c r="H208" s="364" t="n"/>
      <c r="I208" s="364" t="n"/>
      <c r="J208" s="364" t="n"/>
      <c r="K208" s="368" t="n"/>
      <c r="L208" s="368" t="n"/>
      <c r="M208" s="364" t="n"/>
      <c r="N208" s="364" t="n"/>
      <c r="O208" s="364" t="n"/>
      <c r="P208" s="364" t="n"/>
      <c r="Q208" s="364" t="n"/>
      <c r="R208" s="364" t="n"/>
      <c r="S208" s="364" t="n"/>
      <c r="T208" s="364" t="n"/>
      <c r="U208" s="364" t="n"/>
      <c r="V208" s="364" t="n"/>
      <c r="W208" s="364" t="n"/>
      <c r="X208" s="364" t="n"/>
      <c r="Y208" s="368" t="n"/>
      <c r="Z208" s="368" t="n"/>
      <c r="AA208" s="364" t="n"/>
      <c r="AB208" s="364" t="n"/>
      <c r="AC208" s="364" t="n"/>
      <c r="AD208" s="364" t="n"/>
      <c r="AE208" s="364" t="n"/>
      <c r="AF208" s="368" t="n"/>
      <c r="AG208" s="368" t="n"/>
      <c r="AH208" s="364" t="n"/>
      <c r="AI208" s="364" t="n"/>
      <c r="AJ208" s="154">
        <f>SUM(E208:AI208)</f>
        <v/>
      </c>
      <c r="AK208" s="154">
        <f>AJ208*D208</f>
        <v/>
      </c>
    </row>
    <row r="209">
      <c r="A209" s="183" t="inlineStr">
        <is>
          <t>การเตรียมการ/จัดประชุม</t>
        </is>
      </c>
      <c r="B209" s="56" t="n"/>
      <c r="C209" s="184" t="n"/>
      <c r="D209" s="185" t="n"/>
      <c r="E209" s="186" t="n"/>
      <c r="F209" s="186" t="n"/>
      <c r="G209" s="186" t="n"/>
      <c r="H209" s="186" t="n"/>
      <c r="I209" s="186" t="n"/>
      <c r="J209" s="186" t="n"/>
      <c r="K209" s="186" t="n"/>
      <c r="L209" s="186" t="n"/>
      <c r="M209" s="186" t="n"/>
      <c r="N209" s="186" t="n"/>
      <c r="O209" s="186" t="n"/>
      <c r="P209" s="186" t="n"/>
      <c r="Q209" s="186" t="n"/>
      <c r="R209" s="186" t="n"/>
      <c r="S209" s="186" t="n"/>
      <c r="T209" s="186" t="n"/>
      <c r="U209" s="186" t="n"/>
      <c r="V209" s="186" t="n"/>
      <c r="W209" s="186" t="n"/>
      <c r="X209" s="186" t="n"/>
      <c r="Y209" s="186" t="n"/>
      <c r="Z209" s="186" t="n"/>
      <c r="AA209" s="186" t="n"/>
      <c r="AB209" s="186" t="n"/>
      <c r="AC209" s="186" t="n"/>
      <c r="AD209" s="186" t="n"/>
      <c r="AE209" s="186" t="n"/>
      <c r="AF209" s="186" t="n"/>
      <c r="AG209" s="186" t="n"/>
      <c r="AH209" s="186" t="n"/>
      <c r="AI209" s="186" t="n"/>
      <c r="AJ209" s="691" t="n"/>
      <c r="AK209" s="67" t="n"/>
    </row>
    <row r="210" ht="25" customHeight="1">
      <c r="A210" s="74" t="inlineStr">
        <is>
          <t xml:space="preserve"> - จัดเตรียมไฟล์ Power point สำหรับนำเสนอข้อมูล</t>
        </is>
      </c>
      <c r="B210" s="73" t="inlineStr">
        <is>
          <t>ครั้ง</t>
        </is>
      </c>
      <c r="C210" s="73" t="n">
        <v>60</v>
      </c>
      <c r="D210" s="187">
        <f>C210*0.143</f>
        <v/>
      </c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88">
        <f>SUM(E210:AI210)</f>
        <v/>
      </c>
      <c r="AK210" s="188">
        <f>AJ210*D210</f>
        <v/>
      </c>
    </row>
    <row r="211" ht="25" customHeight="1">
      <c r="A211" s="94" t="inlineStr">
        <is>
          <t xml:space="preserve"> - จัดทำเอกสารประกอบการประชุม/อบรม ฯลฯ</t>
        </is>
      </c>
      <c r="B211" s="13" t="inlineStr">
        <is>
          <t>ครั้ง</t>
        </is>
      </c>
      <c r="C211" s="14" t="n">
        <v>15</v>
      </c>
      <c r="D211" s="187">
        <f>C211*0.143</f>
        <v/>
      </c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88">
        <f>SUM(E211:AI211)</f>
        <v/>
      </c>
      <c r="AK211" s="188">
        <f>AJ211*D211</f>
        <v/>
      </c>
    </row>
    <row r="212">
      <c r="A212" s="189" t="inlineStr">
        <is>
          <t xml:space="preserve"> - การจัดเตรียมสถานที่ อุปกรณ์ สนับสนุนการประชุม</t>
        </is>
      </c>
      <c r="B212" s="190" t="inlineStr">
        <is>
          <t>ครั้ง</t>
        </is>
      </c>
      <c r="C212" s="191" t="n">
        <v>30</v>
      </c>
      <c r="D212" s="187">
        <f>C212*0.143</f>
        <v/>
      </c>
      <c r="E212" s="192" t="n"/>
      <c r="F212" s="192" t="n"/>
      <c r="G212" s="192" t="n"/>
      <c r="H212" s="192" t="n"/>
      <c r="I212" s="192" t="n"/>
      <c r="J212" s="192" t="n"/>
      <c r="K212" s="192" t="n"/>
      <c r="L212" s="192" t="n"/>
      <c r="M212" s="192" t="n"/>
      <c r="N212" s="192" t="n"/>
      <c r="O212" s="192" t="n"/>
      <c r="P212" s="192" t="n"/>
      <c r="Q212" s="192" t="n"/>
      <c r="R212" s="192" t="n"/>
      <c r="S212" s="192" t="n"/>
      <c r="T212" s="192" t="n"/>
      <c r="U212" s="192" t="n"/>
      <c r="V212" s="192" t="n"/>
      <c r="W212" s="192" t="n"/>
      <c r="X212" s="192" t="n"/>
      <c r="Y212" s="192" t="n"/>
      <c r="Z212" s="192" t="n"/>
      <c r="AA212" s="192" t="n"/>
      <c r="AB212" s="192" t="n"/>
      <c r="AC212" s="192" t="n"/>
      <c r="AD212" s="192" t="n"/>
      <c r="AE212" s="192" t="n"/>
      <c r="AF212" s="192" t="n"/>
      <c r="AG212" s="192" t="n"/>
      <c r="AH212" s="192" t="n"/>
      <c r="AI212" s="192" t="n"/>
      <c r="AJ212" s="188">
        <f>SUM(E212:AI212)</f>
        <v/>
      </c>
      <c r="AK212" s="188">
        <f>AJ212*D212</f>
        <v/>
      </c>
    </row>
    <row r="213">
      <c r="A213" s="189" t="inlineStr">
        <is>
          <t xml:space="preserve"> - ช่วยลงทะเบียน/เอกสาร</t>
        </is>
      </c>
      <c r="B213" s="193" t="inlineStr">
        <is>
          <t>ครั้ง</t>
        </is>
      </c>
      <c r="C213" s="194" t="n">
        <v>30</v>
      </c>
      <c r="D213" s="187">
        <f>C213*0.143</f>
        <v/>
      </c>
      <c r="E213" s="195" t="n"/>
      <c r="F213" s="195" t="n"/>
      <c r="G213" s="195" t="n"/>
      <c r="H213" s="195" t="n"/>
      <c r="I213" s="195" t="n"/>
      <c r="J213" s="195" t="n"/>
      <c r="K213" s="195" t="n"/>
      <c r="L213" s="195" t="n"/>
      <c r="M213" s="195" t="n"/>
      <c r="N213" s="195" t="n"/>
      <c r="O213" s="195" t="n"/>
      <c r="P213" s="195" t="n"/>
      <c r="Q213" s="195" t="n"/>
      <c r="R213" s="195" t="n"/>
      <c r="S213" s="195" t="n"/>
      <c r="T213" s="195" t="n"/>
      <c r="U213" s="195" t="n"/>
      <c r="V213" s="195" t="n"/>
      <c r="W213" s="195" t="n"/>
      <c r="X213" s="195" t="n"/>
      <c r="Y213" s="195" t="n"/>
      <c r="Z213" s="195" t="n"/>
      <c r="AA213" s="195" t="n"/>
      <c r="AB213" s="195" t="n"/>
      <c r="AC213" s="195" t="n"/>
      <c r="AD213" s="195" t="n"/>
      <c r="AE213" s="195" t="n"/>
      <c r="AF213" s="195" t="n"/>
      <c r="AG213" s="195" t="n"/>
      <c r="AH213" s="195" t="n"/>
      <c r="AI213" s="195" t="n"/>
      <c r="AJ213" s="188">
        <f>SUM(E213:AI213)</f>
        <v/>
      </c>
      <c r="AK213" s="188">
        <f>AJ213*D213</f>
        <v/>
      </c>
    </row>
    <row r="214">
      <c r="A214" s="189" t="inlineStr">
        <is>
          <t xml:space="preserve"> - จัดเตรียมอาหารว่าง/อาหารกลางวัน</t>
        </is>
      </c>
      <c r="B214" s="193" t="inlineStr">
        <is>
          <t>ครั้ง</t>
        </is>
      </c>
      <c r="C214" s="194" t="n">
        <v>30</v>
      </c>
      <c r="D214" s="187">
        <f>C214*0.143</f>
        <v/>
      </c>
      <c r="E214" s="195" t="n"/>
      <c r="F214" s="195" t="n"/>
      <c r="G214" s="195" t="n"/>
      <c r="H214" s="195" t="n"/>
      <c r="I214" s="195" t="n"/>
      <c r="J214" s="195" t="n"/>
      <c r="K214" s="195" t="n"/>
      <c r="L214" s="195" t="n"/>
      <c r="M214" s="195" t="n"/>
      <c r="N214" s="195" t="n"/>
      <c r="O214" s="195" t="n"/>
      <c r="P214" s="195" t="n"/>
      <c r="Q214" s="195" t="n"/>
      <c r="R214" s="195" t="n"/>
      <c r="S214" s="195" t="n"/>
      <c r="T214" s="195" t="n"/>
      <c r="U214" s="195" t="n"/>
      <c r="V214" s="195" t="n"/>
      <c r="W214" s="195" t="n"/>
      <c r="X214" s="195" t="n"/>
      <c r="Y214" s="195" t="n"/>
      <c r="Z214" s="195" t="n"/>
      <c r="AA214" s="195" t="n"/>
      <c r="AB214" s="195" t="n"/>
      <c r="AC214" s="195" t="n"/>
      <c r="AD214" s="195" t="n"/>
      <c r="AE214" s="195" t="n"/>
      <c r="AF214" s="195" t="n"/>
      <c r="AG214" s="195" t="n"/>
      <c r="AH214" s="195" t="n"/>
      <c r="AI214" s="195" t="n"/>
      <c r="AJ214" s="188">
        <f>SUM(E214:AI214)</f>
        <v/>
      </c>
      <c r="AK214" s="188">
        <f>AJ214*D214</f>
        <v/>
      </c>
    </row>
    <row r="215">
      <c r="A215" s="196" t="inlineStr">
        <is>
          <t xml:space="preserve"> - จัดเตรียมของรางวัล</t>
        </is>
      </c>
      <c r="B215" s="197" t="inlineStr">
        <is>
          <t>ครั้ง</t>
        </is>
      </c>
      <c r="C215" s="198" t="n">
        <v>30</v>
      </c>
      <c r="D215" s="187">
        <f>C215*0.143</f>
        <v/>
      </c>
      <c r="E215" s="199" t="n"/>
      <c r="F215" s="199" t="n"/>
      <c r="G215" s="199" t="n"/>
      <c r="H215" s="199" t="n"/>
      <c r="I215" s="199" t="n"/>
      <c r="J215" s="199" t="n"/>
      <c r="K215" s="199" t="n"/>
      <c r="L215" s="199" t="n"/>
      <c r="M215" s="199" t="n"/>
      <c r="N215" s="199" t="n"/>
      <c r="O215" s="199" t="n"/>
      <c r="P215" s="199" t="n"/>
      <c r="Q215" s="199" t="n"/>
      <c r="R215" s="199" t="n"/>
      <c r="S215" s="199" t="n"/>
      <c r="T215" s="199" t="n"/>
      <c r="U215" s="199" t="n"/>
      <c r="V215" s="199" t="n"/>
      <c r="W215" s="199" t="n"/>
      <c r="X215" s="199" t="n"/>
      <c r="Y215" s="199" t="n"/>
      <c r="Z215" s="199" t="n"/>
      <c r="AA215" s="199" t="n"/>
      <c r="AB215" s="199" t="n"/>
      <c r="AC215" s="199" t="n"/>
      <c r="AD215" s="199" t="n"/>
      <c r="AE215" s="199" t="n"/>
      <c r="AF215" s="199" t="n"/>
      <c r="AG215" s="199" t="n"/>
      <c r="AH215" s="199" t="n"/>
      <c r="AI215" s="199" t="n"/>
      <c r="AJ215" s="188">
        <f>SUM(E215:AI215)</f>
        <v/>
      </c>
      <c r="AK215" s="188">
        <f>AJ215*D215</f>
        <v/>
      </c>
    </row>
    <row r="216" ht="50" customHeight="1">
      <c r="A216" s="94" t="inlineStr">
        <is>
          <t xml:space="preserve"> - จัดทำการประเมินความพึงพอใจประกอบการประชุม/อบรม ฯลฯ</t>
        </is>
      </c>
      <c r="B216" s="200" t="inlineStr">
        <is>
          <t>ครั้ง</t>
        </is>
      </c>
      <c r="C216" s="86" t="n">
        <v>60</v>
      </c>
      <c r="D216" s="187">
        <f>C216*0.143</f>
        <v/>
      </c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88">
        <f>SUM(E216:AI216)</f>
        <v/>
      </c>
      <c r="AK216" s="188">
        <f>AJ216*D216</f>
        <v/>
      </c>
    </row>
    <row r="217" ht="25" customHeight="1">
      <c r="A217" s="369" t="inlineStr">
        <is>
          <t>งานอื่น ๆ (ส่วนกลาง)</t>
        </is>
      </c>
      <c r="B217" s="201" t="n"/>
      <c r="C217" s="201" t="n"/>
      <c r="D217" s="201" t="n"/>
      <c r="E217" s="371" t="n"/>
      <c r="F217" s="371" t="n"/>
      <c r="G217" s="371" t="n"/>
      <c r="H217" s="371" t="n"/>
      <c r="I217" s="371" t="n"/>
      <c r="J217" s="371" t="n"/>
      <c r="K217" s="371" t="n"/>
      <c r="L217" s="371" t="n"/>
      <c r="M217" s="371" t="n"/>
      <c r="N217" s="371" t="n"/>
      <c r="O217" s="371" t="n"/>
      <c r="P217" s="371" t="n"/>
      <c r="Q217" s="371" t="n"/>
      <c r="R217" s="371" t="n"/>
      <c r="S217" s="371" t="n"/>
      <c r="T217" s="371" t="n"/>
      <c r="U217" s="371" t="n"/>
      <c r="V217" s="371" t="n"/>
      <c r="W217" s="371" t="n"/>
      <c r="X217" s="371" t="n"/>
      <c r="Y217" s="371" t="n"/>
      <c r="Z217" s="371" t="n"/>
      <c r="AA217" s="371" t="n"/>
      <c r="AB217" s="371" t="n"/>
      <c r="AC217" s="371" t="n"/>
      <c r="AD217" s="371" t="n"/>
      <c r="AE217" s="371" t="n"/>
      <c r="AF217" s="371" t="n"/>
      <c r="AG217" s="371" t="n"/>
      <c r="AH217" s="371" t="n"/>
      <c r="AI217" s="371" t="n"/>
      <c r="AJ217" s="371" t="n"/>
      <c r="AK217" s="621" t="n"/>
    </row>
    <row r="218">
      <c r="A218" s="372" t="inlineStr">
        <is>
          <t>1. เปิด/ปิดห้องสำนักงาน</t>
        </is>
      </c>
      <c r="B218" s="150" t="inlineStr">
        <is>
          <t>1 ครั้ง / วัน</t>
        </is>
      </c>
      <c r="C218" s="780" t="n"/>
      <c r="D218" s="150" t="n">
        <v>1.43</v>
      </c>
      <c r="E218" s="217" t="n"/>
      <c r="F218" s="150" t="n"/>
      <c r="G218" s="217" t="n"/>
      <c r="H218" s="150" t="n"/>
      <c r="I218" s="150" t="n"/>
      <c r="J218" s="150" t="n"/>
      <c r="K218" s="217" t="n"/>
      <c r="L218" s="217" t="n"/>
      <c r="M218" s="150" t="n"/>
      <c r="N218" s="150" t="n"/>
      <c r="O218" s="150" t="n"/>
      <c r="P218" s="150" t="n"/>
      <c r="Q218" s="150" t="n"/>
      <c r="R218" s="150" t="n"/>
      <c r="S218" s="150" t="n"/>
      <c r="T218" s="150" t="n"/>
      <c r="U218" s="150" t="n"/>
      <c r="V218" s="150" t="n"/>
      <c r="W218" s="150" t="n"/>
      <c r="X218" s="150" t="n"/>
      <c r="Y218" s="217" t="n"/>
      <c r="Z218" s="217" t="n"/>
      <c r="AA218" s="150" t="n"/>
      <c r="AB218" s="150" t="n"/>
      <c r="AC218" s="150" t="n"/>
      <c r="AD218" s="150" t="n"/>
      <c r="AE218" s="150" t="n"/>
      <c r="AF218" s="217" t="n"/>
      <c r="AG218" s="217" t="n"/>
      <c r="AH218" s="150" t="n"/>
      <c r="AI218" s="704" t="n"/>
      <c r="AJ218" s="374">
        <f>SUM(E218:AI218)</f>
        <v/>
      </c>
      <c r="AK218" s="153">
        <f>AJ218*D218</f>
        <v/>
      </c>
    </row>
    <row r="219">
      <c r="A219" s="375" t="inlineStr">
        <is>
          <t>2. เปิด/ปิดเครื่องใช้ไฟฟ้า</t>
        </is>
      </c>
      <c r="B219" s="150" t="inlineStr">
        <is>
          <t>1 ครั้ง / วัน</t>
        </is>
      </c>
      <c r="C219" s="780" t="n"/>
      <c r="D219" s="150" t="n">
        <v>1.43</v>
      </c>
      <c r="E219" s="217" t="n"/>
      <c r="F219" s="150" t="n"/>
      <c r="G219" s="217" t="n"/>
      <c r="H219" s="150" t="n"/>
      <c r="I219" s="150" t="n"/>
      <c r="J219" s="150" t="n"/>
      <c r="K219" s="217" t="n"/>
      <c r="L219" s="217" t="n"/>
      <c r="M219" s="150" t="n"/>
      <c r="N219" s="150" t="n"/>
      <c r="O219" s="150" t="n"/>
      <c r="P219" s="150" t="n"/>
      <c r="Q219" s="150" t="n"/>
      <c r="R219" s="150" t="n"/>
      <c r="S219" s="150" t="n"/>
      <c r="T219" s="150" t="n"/>
      <c r="U219" s="150" t="n"/>
      <c r="V219" s="150" t="n"/>
      <c r="W219" s="150" t="n"/>
      <c r="X219" s="150" t="n"/>
      <c r="Y219" s="217" t="n"/>
      <c r="Z219" s="217" t="n"/>
      <c r="AA219" s="150" t="n"/>
      <c r="AB219" s="150" t="n"/>
      <c r="AC219" s="150" t="n"/>
      <c r="AD219" s="150" t="n"/>
      <c r="AE219" s="150" t="n"/>
      <c r="AF219" s="217" t="n"/>
      <c r="AG219" s="217" t="n"/>
      <c r="AH219" s="150" t="n"/>
      <c r="AI219" s="150" t="n"/>
      <c r="AJ219" s="153">
        <f>SUM(E219:AI219)</f>
        <v/>
      </c>
      <c r="AK219" s="153">
        <f>AJ219*D219</f>
        <v/>
      </c>
    </row>
    <row r="220">
      <c r="A220" s="375" t="inlineStr">
        <is>
          <t>3. ดูแลความสะอาดเรียบร้อยอาคารสถานที่ 
 สิ่งแวดล้อมทั่วไป</t>
        </is>
      </c>
      <c r="B220" s="150" t="inlineStr">
        <is>
          <t>วัน</t>
        </is>
      </c>
      <c r="C220" s="150" t="inlineStr">
        <is>
          <t>เหมา</t>
        </is>
      </c>
      <c r="D220" s="150" t="n">
        <v>4.26</v>
      </c>
      <c r="E220" s="217" t="n"/>
      <c r="F220" s="150" t="n"/>
      <c r="G220" s="217" t="n"/>
      <c r="H220" s="150" t="n"/>
      <c r="I220" s="150" t="n"/>
      <c r="J220" s="150" t="n"/>
      <c r="K220" s="217" t="n"/>
      <c r="L220" s="217" t="n"/>
      <c r="M220" s="150" t="n"/>
      <c r="N220" s="150" t="n"/>
      <c r="O220" s="150" t="n"/>
      <c r="P220" s="150" t="n"/>
      <c r="Q220" s="150" t="n"/>
      <c r="R220" s="150" t="n"/>
      <c r="S220" s="150" t="n"/>
      <c r="T220" s="150" t="n"/>
      <c r="U220" s="150" t="n"/>
      <c r="V220" s="150" t="n"/>
      <c r="W220" s="150" t="n"/>
      <c r="X220" s="150" t="n"/>
      <c r="Y220" s="217" t="n"/>
      <c r="Z220" s="217" t="n"/>
      <c r="AA220" s="150" t="n"/>
      <c r="AB220" s="150" t="n"/>
      <c r="AC220" s="150" t="n"/>
      <c r="AD220" s="150" t="n"/>
      <c r="AE220" s="150" t="n"/>
      <c r="AF220" s="217" t="n"/>
      <c r="AG220" s="217" t="n"/>
      <c r="AH220" s="150" t="n"/>
      <c r="AI220" s="150" t="n"/>
      <c r="AJ220" s="153">
        <f>SUM(E220:AI220)</f>
        <v/>
      </c>
      <c r="AK220" s="153">
        <f>AJ220*D220</f>
        <v/>
      </c>
    </row>
    <row r="221">
      <c r="A221" s="376" t="inlineStr">
        <is>
          <t>4. ดูแลความสะอาดเรียบร้อยห้องอาหาร ห้องพักแพทย์ พยาบาล</t>
        </is>
      </c>
      <c r="B221" s="351" t="inlineStr">
        <is>
          <t>วัน</t>
        </is>
      </c>
      <c r="C221" s="351" t="inlineStr">
        <is>
          <t>เหมา</t>
        </is>
      </c>
      <c r="D221" s="351" t="n">
        <v>8.52</v>
      </c>
      <c r="E221" s="217" t="n"/>
      <c r="F221" s="150" t="n"/>
      <c r="G221" s="217" t="n"/>
      <c r="H221" s="150" t="n"/>
      <c r="I221" s="150" t="n"/>
      <c r="J221" s="150" t="n"/>
      <c r="K221" s="217" t="n"/>
      <c r="L221" s="217" t="n"/>
      <c r="M221" s="150" t="n"/>
      <c r="N221" s="150" t="n"/>
      <c r="O221" s="150" t="n"/>
      <c r="P221" s="635" t="n"/>
      <c r="Q221" s="150" t="n"/>
      <c r="R221" s="150" t="n"/>
      <c r="S221" s="150" t="n"/>
      <c r="T221" s="150" t="n"/>
      <c r="U221" s="150" t="n"/>
      <c r="V221" s="150" t="n"/>
      <c r="W221" s="150" t="n"/>
      <c r="X221" s="150" t="n"/>
      <c r="Y221" s="217" t="n"/>
      <c r="Z221" s="217" t="n"/>
      <c r="AA221" s="150" t="n"/>
      <c r="AB221" s="150" t="n"/>
      <c r="AC221" s="150" t="n"/>
      <c r="AD221" s="150" t="n"/>
      <c r="AE221" s="150" t="n"/>
      <c r="AF221" s="217" t="n"/>
      <c r="AG221" s="217" t="n"/>
      <c r="AH221" s="150" t="n"/>
      <c r="AI221" s="150" t="n"/>
      <c r="AJ221" s="153">
        <f>SUM(E221:AI221)</f>
        <v/>
      </c>
      <c r="AK221" s="153">
        <f>AJ221*D221</f>
        <v/>
      </c>
    </row>
    <row r="222">
      <c r="A222" s="376" t="inlineStr">
        <is>
          <t>5. ทำความสะอาดตู้เย็น</t>
        </is>
      </c>
      <c r="B222" s="351" t="inlineStr">
        <is>
          <t>ครั้ง</t>
        </is>
      </c>
      <c r="C222" s="351" t="inlineStr">
        <is>
          <t>เหมา</t>
        </is>
      </c>
      <c r="D222" s="351" t="n">
        <v>1.07</v>
      </c>
      <c r="E222" s="217" t="n"/>
      <c r="F222" s="150" t="n"/>
      <c r="G222" s="217" t="n"/>
      <c r="H222" s="150" t="n"/>
      <c r="I222" s="150" t="n"/>
      <c r="J222" s="150" t="n"/>
      <c r="K222" s="217" t="n"/>
      <c r="L222" s="217" t="n"/>
      <c r="M222" s="150" t="n"/>
      <c r="N222" s="150" t="n"/>
      <c r="O222" s="150" t="n"/>
      <c r="P222" s="150" t="n"/>
      <c r="Q222" s="150" t="n"/>
      <c r="R222" s="150" t="n"/>
      <c r="S222" s="150" t="n"/>
      <c r="T222" s="150" t="n"/>
      <c r="U222" s="150" t="n"/>
      <c r="V222" s="150" t="n"/>
      <c r="W222" s="150" t="n"/>
      <c r="X222" s="150" t="n"/>
      <c r="Y222" s="217" t="n"/>
      <c r="Z222" s="217" t="n"/>
      <c r="AA222" s="150" t="n"/>
      <c r="AB222" s="150" t="n"/>
      <c r="AC222" s="150" t="n"/>
      <c r="AD222" s="150" t="n"/>
      <c r="AE222" s="150" t="n"/>
      <c r="AF222" s="217" t="n"/>
      <c r="AG222" s="217" t="n"/>
      <c r="AH222" s="150" t="n"/>
      <c r="AI222" s="150" t="n"/>
      <c r="AJ222" s="153">
        <f>SUM(E222:AI222)</f>
        <v/>
      </c>
      <c r="AK222" s="153">
        <f>AJ222*D222</f>
        <v/>
      </c>
    </row>
    <row r="223">
      <c r="A223" s="375" t="inlineStr">
        <is>
          <t>6. การแยกขยะ recycle และนำส่งธนาคารขยะ</t>
        </is>
      </c>
      <c r="B223" s="150" t="inlineStr">
        <is>
          <t>วัน</t>
        </is>
      </c>
      <c r="C223" s="150" t="inlineStr">
        <is>
          <t>เหมา</t>
        </is>
      </c>
      <c r="D223" s="150" t="n">
        <v>4.26</v>
      </c>
      <c r="E223" s="217" t="n"/>
      <c r="F223" s="150" t="n"/>
      <c r="G223" s="217" t="n"/>
      <c r="H223" s="150" t="n"/>
      <c r="I223" s="150" t="n"/>
      <c r="J223" s="150" t="n"/>
      <c r="K223" s="217" t="n"/>
      <c r="L223" s="217" t="n"/>
      <c r="M223" s="150" t="n"/>
      <c r="N223" s="150" t="n"/>
      <c r="O223" s="150" t="n"/>
      <c r="P223" s="150" t="n"/>
      <c r="Q223" s="150" t="n"/>
      <c r="R223" s="150" t="n"/>
      <c r="S223" s="150" t="n"/>
      <c r="T223" s="150" t="n"/>
      <c r="U223" s="150" t="n"/>
      <c r="V223" s="150" t="n"/>
      <c r="W223" s="150" t="n"/>
      <c r="X223" s="150" t="n"/>
      <c r="Y223" s="217" t="n"/>
      <c r="Z223" s="217" t="n"/>
      <c r="AA223" s="150" t="n"/>
      <c r="AB223" s="150" t="n"/>
      <c r="AC223" s="150" t="n"/>
      <c r="AD223" s="150" t="n"/>
      <c r="AE223" s="150" t="n"/>
      <c r="AF223" s="217" t="n"/>
      <c r="AG223" s="217" t="n"/>
      <c r="AH223" s="150" t="n"/>
      <c r="AI223" s="150" t="n"/>
      <c r="AJ223" s="153">
        <f>SUM(E223:AI223)</f>
        <v/>
      </c>
      <c r="AK223" s="153">
        <f>AJ223*D223</f>
        <v/>
      </c>
    </row>
    <row r="224">
      <c r="A224" s="375" t="inlineStr">
        <is>
          <t>7. เดินงานอื่นๆ ที่ได้รับมอบหมาย</t>
        </is>
      </c>
      <c r="B224" s="150" t="inlineStr">
        <is>
          <t>วัน</t>
        </is>
      </c>
      <c r="C224" s="150" t="inlineStr">
        <is>
          <t>เหมา</t>
        </is>
      </c>
      <c r="D224" s="150" t="n">
        <v>4.26</v>
      </c>
      <c r="E224" s="217" t="n"/>
      <c r="F224" s="150" t="n"/>
      <c r="G224" s="217" t="n"/>
      <c r="H224" s="150" t="n"/>
      <c r="I224" s="150" t="n"/>
      <c r="J224" s="150" t="n"/>
      <c r="K224" s="217" t="n"/>
      <c r="L224" s="217" t="n"/>
      <c r="M224" s="150" t="n"/>
      <c r="N224" s="150" t="n"/>
      <c r="O224" s="150" t="n"/>
      <c r="P224" s="150" t="n"/>
      <c r="Q224" s="150" t="n"/>
      <c r="R224" s="150" t="n"/>
      <c r="S224" s="150" t="n"/>
      <c r="T224" s="150" t="n"/>
      <c r="U224" s="150" t="n"/>
      <c r="V224" s="150" t="n"/>
      <c r="W224" s="150" t="n"/>
      <c r="X224" s="150" t="n"/>
      <c r="Y224" s="217" t="n"/>
      <c r="Z224" s="217" t="n"/>
      <c r="AA224" s="150" t="n"/>
      <c r="AB224" s="150" t="n"/>
      <c r="AC224" s="150" t="n"/>
      <c r="AD224" s="150" t="n"/>
      <c r="AE224" s="150" t="n"/>
      <c r="AF224" s="217" t="n"/>
      <c r="AG224" s="217" t="n"/>
      <c r="AH224" s="150" t="n"/>
      <c r="AI224" s="150" t="n"/>
      <c r="AJ224" s="153">
        <f>SUM(E224:AI224)</f>
        <v/>
      </c>
      <c r="AK224" s="153">
        <f>AJ224*D224</f>
        <v/>
      </c>
    </row>
    <row r="225">
      <c r="A225" s="375" t="inlineStr">
        <is>
          <t>8. ทำลายเอกสาร</t>
        </is>
      </c>
      <c r="B225" s="150" t="inlineStr">
        <is>
          <t>วัน</t>
        </is>
      </c>
      <c r="C225" s="150" t="n">
        <v>30</v>
      </c>
      <c r="D225" s="377">
        <f>C225*0.071</f>
        <v/>
      </c>
      <c r="E225" s="217" t="n"/>
      <c r="F225" s="150" t="n"/>
      <c r="G225" s="217" t="n"/>
      <c r="H225" s="150" t="n"/>
      <c r="I225" s="150" t="n"/>
      <c r="J225" s="150" t="n"/>
      <c r="K225" s="217" t="n"/>
      <c r="L225" s="217" t="n"/>
      <c r="M225" s="150" t="n"/>
      <c r="N225" s="150" t="n"/>
      <c r="O225" s="150" t="n"/>
      <c r="P225" s="150" t="n"/>
      <c r="Q225" s="150" t="n"/>
      <c r="R225" s="150" t="n"/>
      <c r="S225" s="150" t="n"/>
      <c r="T225" s="150" t="n"/>
      <c r="U225" s="150" t="n"/>
      <c r="V225" s="150" t="n"/>
      <c r="W225" s="150" t="n"/>
      <c r="X225" s="150" t="n"/>
      <c r="Y225" s="217" t="n"/>
      <c r="Z225" s="217" t="n"/>
      <c r="AA225" s="150" t="n"/>
      <c r="AB225" s="150" t="n"/>
      <c r="AC225" s="150" t="n"/>
      <c r="AD225" s="150" t="n"/>
      <c r="AE225" s="150" t="n"/>
      <c r="AF225" s="217" t="n"/>
      <c r="AG225" s="217" t="n"/>
      <c r="AH225" s="150" t="n"/>
      <c r="AI225" s="150" t="n"/>
      <c r="AJ225" s="153">
        <f>SUM(E225:AI225)</f>
        <v/>
      </c>
      <c r="AK225" s="153">
        <f>AJ225*D225</f>
        <v/>
      </c>
    </row>
    <row r="226" ht="25" customHeight="1">
      <c r="A226" s="378" t="inlineStr">
        <is>
          <t>9. จัดเตรียมอุปกรณ์สถานที่สนับสนุนการสอบแพทย์ นิสิตแพทย์</t>
        </is>
      </c>
      <c r="B226" s="379" t="inlineStr">
        <is>
          <t xml:space="preserve">ครั้ง </t>
        </is>
      </c>
      <c r="C226" s="380" t="inlineStr">
        <is>
          <t>เหมา</t>
        </is>
      </c>
      <c r="D226" s="380" t="n">
        <v>1.07</v>
      </c>
      <c r="E226" s="382" t="n"/>
      <c r="F226" s="381" t="n"/>
      <c r="G226" s="382" t="n"/>
      <c r="H226" s="381" t="n"/>
      <c r="I226" s="381" t="n"/>
      <c r="J226" s="381" t="n"/>
      <c r="K226" s="382" t="n"/>
      <c r="L226" s="382" t="n"/>
      <c r="M226" s="381" t="n"/>
      <c r="N226" s="381" t="n"/>
      <c r="O226" s="381" t="n"/>
      <c r="P226" s="381" t="n"/>
      <c r="Q226" s="381" t="n"/>
      <c r="R226" s="381" t="n"/>
      <c r="S226" s="381" t="n"/>
      <c r="T226" s="381" t="n"/>
      <c r="U226" s="381" t="n"/>
      <c r="V226" s="381" t="n"/>
      <c r="W226" s="381" t="n"/>
      <c r="X226" s="381" t="n"/>
      <c r="Y226" s="382" t="n"/>
      <c r="Z226" s="382" t="n"/>
      <c r="AA226" s="381" t="n"/>
      <c r="AB226" s="381" t="n"/>
      <c r="AC226" s="381" t="n"/>
      <c r="AD226" s="381" t="n"/>
      <c r="AE226" s="381" t="n"/>
      <c r="AF226" s="382" t="n"/>
      <c r="AG226" s="382" t="n"/>
      <c r="AH226" s="381" t="n"/>
      <c r="AI226" s="381" t="n"/>
      <c r="AJ226" s="383">
        <f>SUM(E226:AI226)</f>
        <v/>
      </c>
      <c r="AK226" s="383">
        <f>AJ226*D226</f>
        <v/>
      </c>
    </row>
    <row r="227" ht="25" customHeight="1">
      <c r="A227" s="384" t="inlineStr">
        <is>
          <t>10. ตรวจสอบ/เบิก/แลก ยาน้ำ เวชภัณฑ์ ครุภัณฑ์ ประจำเดือน</t>
        </is>
      </c>
      <c r="B227" s="785" t="inlineStr">
        <is>
          <t>1ครั้ง/เดือน</t>
        </is>
      </c>
      <c r="C227" s="767" t="n"/>
      <c r="D227" s="385" t="n">
        <v>4.26</v>
      </c>
      <c r="E227" s="387" t="n"/>
      <c r="F227" s="386" t="n"/>
      <c r="G227" s="387" t="n"/>
      <c r="H227" s="386" t="n"/>
      <c r="I227" s="386" t="n"/>
      <c r="J227" s="386" t="n"/>
      <c r="K227" s="387" t="n"/>
      <c r="L227" s="387" t="n"/>
      <c r="M227" s="386" t="n"/>
      <c r="N227" s="386" t="n"/>
      <c r="O227" s="386" t="n"/>
      <c r="P227" s="386" t="n"/>
      <c r="Q227" s="386" t="n"/>
      <c r="R227" s="386" t="n"/>
      <c r="S227" s="386" t="n"/>
      <c r="T227" s="386" t="n"/>
      <c r="U227" s="386" t="n"/>
      <c r="V227" s="386" t="n"/>
      <c r="W227" s="386" t="n"/>
      <c r="X227" s="386" t="n"/>
      <c r="Y227" s="387" t="n"/>
      <c r="Z227" s="387" t="n"/>
      <c r="AA227" s="386" t="n"/>
      <c r="AB227" s="386" t="n"/>
      <c r="AC227" s="386" t="n"/>
      <c r="AD227" s="386" t="n"/>
      <c r="AE227" s="386" t="n"/>
      <c r="AF227" s="387" t="n"/>
      <c r="AG227" s="387" t="n"/>
      <c r="AH227" s="386" t="n"/>
      <c r="AI227" s="386" t="n"/>
      <c r="AJ227" s="383">
        <f>SUM(E227:AI227)</f>
        <v/>
      </c>
      <c r="AK227" s="383">
        <f>IF(AJ227,4.26,0)</f>
        <v/>
      </c>
    </row>
    <row r="228" ht="25" customHeight="1">
      <c r="A228" s="384" t="inlineStr">
        <is>
          <t>11. OK ของ / เวชภัณฑ์</t>
        </is>
      </c>
      <c r="B228" s="386" t="inlineStr">
        <is>
          <t>ครั้ง</t>
        </is>
      </c>
      <c r="C228" s="388" t="inlineStr">
        <is>
          <t>เหมา</t>
        </is>
      </c>
      <c r="D228" s="379" t="n">
        <v>1.14</v>
      </c>
      <c r="E228" s="387" t="n"/>
      <c r="F228" s="386" t="n"/>
      <c r="G228" s="387" t="n"/>
      <c r="H228" s="386" t="n"/>
      <c r="I228" s="386" t="n"/>
      <c r="J228" s="386" t="n"/>
      <c r="K228" s="387" t="n"/>
      <c r="L228" s="387" t="n"/>
      <c r="M228" s="386" t="n"/>
      <c r="N228" s="386" t="n"/>
      <c r="O228" s="386" t="n"/>
      <c r="P228" s="386" t="n"/>
      <c r="Q228" s="386" t="n"/>
      <c r="R228" s="386" t="n"/>
      <c r="S228" s="386" t="n"/>
      <c r="T228" s="386" t="n"/>
      <c r="U228" s="386" t="n"/>
      <c r="V228" s="386" t="n"/>
      <c r="W228" s="386" t="n"/>
      <c r="X228" s="386" t="n"/>
      <c r="Y228" s="387" t="n"/>
      <c r="Z228" s="387" t="n"/>
      <c r="AA228" s="386" t="n"/>
      <c r="AB228" s="386" t="n"/>
      <c r="AC228" s="386" t="n"/>
      <c r="AD228" s="386" t="n"/>
      <c r="AE228" s="386" t="n"/>
      <c r="AF228" s="387" t="n"/>
      <c r="AG228" s="387" t="n"/>
      <c r="AH228" s="386" t="n"/>
      <c r="AI228" s="386" t="n"/>
      <c r="AJ228" s="383">
        <f>SUM(E228:AI228)</f>
        <v/>
      </c>
      <c r="AK228" s="383">
        <f>AJ228*D228</f>
        <v/>
      </c>
    </row>
    <row r="229" ht="25" customHeight="1">
      <c r="A229" s="384" t="inlineStr">
        <is>
          <t>12. กิจกรรม 5 ส</t>
        </is>
      </c>
      <c r="B229" s="785" t="inlineStr">
        <is>
          <t>1ครั้ง/เดือน</t>
        </is>
      </c>
      <c r="C229" s="767" t="n"/>
      <c r="D229" s="389" t="n">
        <v>8.52</v>
      </c>
      <c r="E229" s="387" t="n"/>
      <c r="F229" s="386" t="n"/>
      <c r="G229" s="387" t="n"/>
      <c r="H229" s="386" t="n"/>
      <c r="I229" s="386" t="n"/>
      <c r="J229" s="386" t="n"/>
      <c r="K229" s="387" t="n"/>
      <c r="L229" s="387" t="n"/>
      <c r="M229" s="386" t="n"/>
      <c r="N229" s="386" t="n"/>
      <c r="O229" s="386" t="n"/>
      <c r="P229" s="386" t="n"/>
      <c r="Q229" s="386" t="n"/>
      <c r="R229" s="386" t="n"/>
      <c r="S229" s="386" t="n"/>
      <c r="T229" s="587" t="n"/>
      <c r="U229" s="386" t="n"/>
      <c r="V229" s="386" t="n"/>
      <c r="W229" s="386" t="n"/>
      <c r="X229" s="386" t="n"/>
      <c r="Y229" s="387" t="n"/>
      <c r="Z229" s="387" t="n"/>
      <c r="AA229" s="386" t="n"/>
      <c r="AB229" s="386" t="n"/>
      <c r="AC229" s="386" t="n"/>
      <c r="AD229" s="386" t="n"/>
      <c r="AE229" s="386" t="n"/>
      <c r="AF229" s="387" t="n"/>
      <c r="AG229" s="387" t="n"/>
      <c r="AH229" s="386" t="n"/>
      <c r="AI229" s="386" t="n"/>
      <c r="AJ229" s="383">
        <f>SUM(E229:AI229)</f>
        <v/>
      </c>
      <c r="AK229" s="383">
        <f>IF(AJ229,8.52,0)</f>
        <v/>
      </c>
    </row>
    <row r="230" ht="50" customHeight="1">
      <c r="A230" s="390" t="inlineStr">
        <is>
          <t>13. รับทราบการรับพัสดุครุภัณฑ์ทางการแพทย์/ครุภัณท์ประจำหอผู้ป่วย</t>
        </is>
      </c>
      <c r="B230" s="391" t="inlineStr">
        <is>
          <t>ครั้ง</t>
        </is>
      </c>
      <c r="C230" s="392" t="inlineStr">
        <is>
          <t>เหมา</t>
        </is>
      </c>
      <c r="D230" s="393" t="n">
        <v>0.71</v>
      </c>
      <c r="E230" s="395" t="n"/>
      <c r="F230" s="394" t="n"/>
      <c r="G230" s="395" t="n"/>
      <c r="H230" s="394" t="n"/>
      <c r="I230" s="394" t="n"/>
      <c r="J230" s="394" t="n"/>
      <c r="K230" s="395" t="n"/>
      <c r="L230" s="395" t="n"/>
      <c r="M230" s="394" t="n"/>
      <c r="N230" s="394" t="n"/>
      <c r="O230" s="394" t="n"/>
      <c r="P230" s="394" t="n"/>
      <c r="Q230" s="394" t="n"/>
      <c r="R230" s="394" t="n"/>
      <c r="S230" s="394" t="n"/>
      <c r="T230" s="394" t="n"/>
      <c r="U230" s="394" t="n"/>
      <c r="V230" s="394" t="n"/>
      <c r="W230" s="394" t="n"/>
      <c r="X230" s="394" t="n"/>
      <c r="Y230" s="395" t="n"/>
      <c r="Z230" s="395" t="n"/>
      <c r="AA230" s="394" t="n"/>
      <c r="AB230" s="394" t="n"/>
      <c r="AC230" s="394" t="n"/>
      <c r="AD230" s="394" t="n"/>
      <c r="AE230" s="394" t="n"/>
      <c r="AF230" s="395" t="n"/>
      <c r="AG230" s="395" t="n"/>
      <c r="AH230" s="394" t="n"/>
      <c r="AI230" s="394" t="n"/>
      <c r="AJ230" s="383">
        <f>SUM(E230:AI230)</f>
        <v/>
      </c>
      <c r="AK230" s="383">
        <f>AJ230*D230</f>
        <v/>
      </c>
    </row>
    <row r="231" ht="25" customHeight="1">
      <c r="A231" s="396" t="inlineStr">
        <is>
          <t>14. การลง Productivity / เวร</t>
        </is>
      </c>
      <c r="B231" s="386" t="inlineStr">
        <is>
          <t>เวร</t>
        </is>
      </c>
      <c r="C231" s="391" t="inlineStr">
        <is>
          <t>เหมา</t>
        </is>
      </c>
      <c r="D231" s="397" t="n">
        <v>0.71</v>
      </c>
      <c r="E231" s="387" t="n"/>
      <c r="F231" s="386" t="n"/>
      <c r="G231" s="387" t="n"/>
      <c r="H231" s="386" t="n"/>
      <c r="I231" s="386" t="n"/>
      <c r="J231" s="386" t="n"/>
      <c r="K231" s="387" t="n"/>
      <c r="L231" s="387" t="n"/>
      <c r="M231" s="387" t="n"/>
      <c r="N231" s="387" t="n"/>
      <c r="O231" s="386" t="n"/>
      <c r="P231" s="386" t="n"/>
      <c r="Q231" s="386" t="n"/>
      <c r="R231" s="386" t="n"/>
      <c r="S231" s="386" t="n"/>
      <c r="T231" s="387" t="n"/>
      <c r="U231" s="387" t="n"/>
      <c r="V231" s="386" t="n"/>
      <c r="W231" s="386" t="n"/>
      <c r="X231" s="387" t="n"/>
      <c r="Y231" s="387" t="n"/>
      <c r="Z231" s="387" t="n"/>
      <c r="AA231" s="387" t="n"/>
      <c r="AB231" s="387" t="n"/>
      <c r="AC231" s="386" t="n"/>
      <c r="AD231" s="386" t="n"/>
      <c r="AE231" s="387" t="n"/>
      <c r="AF231" s="387" t="n"/>
      <c r="AG231" s="387" t="n"/>
      <c r="AH231" s="387" t="n"/>
      <c r="AI231" s="386" t="n"/>
      <c r="AJ231" s="383">
        <f>SUM(E231:AI231)</f>
        <v/>
      </c>
      <c r="AK231" s="383">
        <f>AJ231*D231</f>
        <v/>
      </c>
    </row>
    <row r="232" ht="25" customHeight="1">
      <c r="A232" s="396" t="inlineStr">
        <is>
          <t>15. scan หน้าเข้าระบบ</t>
        </is>
      </c>
      <c r="B232" s="392" t="inlineStr">
        <is>
          <t>ครั้ง</t>
        </is>
      </c>
      <c r="C232" s="391" t="n">
        <v>5</v>
      </c>
      <c r="D232" s="398">
        <f>0.143*C232</f>
        <v/>
      </c>
      <c r="E232" s="387" t="n"/>
      <c r="F232" s="386" t="n"/>
      <c r="G232" s="387" t="n"/>
      <c r="H232" s="386" t="n"/>
      <c r="I232" s="386" t="n"/>
      <c r="J232" s="386" t="n"/>
      <c r="K232" s="387" t="n"/>
      <c r="L232" s="387" t="n"/>
      <c r="M232" s="387" t="n"/>
      <c r="N232" s="387" t="n"/>
      <c r="O232" s="386" t="n"/>
      <c r="P232" s="386" t="n"/>
      <c r="Q232" s="386" t="n"/>
      <c r="R232" s="386" t="n"/>
      <c r="S232" s="386" t="n"/>
      <c r="T232" s="387" t="n"/>
      <c r="U232" s="387" t="n"/>
      <c r="V232" s="386" t="n"/>
      <c r="W232" s="386" t="n"/>
      <c r="X232" s="387" t="n"/>
      <c r="Y232" s="387" t="n"/>
      <c r="Z232" s="387" t="n"/>
      <c r="AA232" s="387" t="n"/>
      <c r="AB232" s="387" t="n"/>
      <c r="AC232" s="386" t="n"/>
      <c r="AD232" s="386" t="n"/>
      <c r="AE232" s="387" t="n"/>
      <c r="AF232" s="387" t="n"/>
      <c r="AG232" s="387" t="n"/>
      <c r="AH232" s="387" t="n"/>
      <c r="AI232" s="386" t="n"/>
      <c r="AJ232" s="383">
        <f>SUM(E232:AI232)</f>
        <v/>
      </c>
      <c r="AK232" s="383">
        <f>AJ232*D232</f>
        <v/>
      </c>
    </row>
    <row r="233">
      <c r="A233" s="399" t="n"/>
      <c r="B233" s="703" t="n"/>
      <c r="C233" s="703" t="n"/>
      <c r="D233" s="703" t="n"/>
      <c r="E233" s="703" t="n"/>
      <c r="F233" s="703" t="n"/>
      <c r="G233" s="703" t="n"/>
      <c r="H233" s="703" t="n"/>
      <c r="I233" s="703" t="n"/>
      <c r="J233" s="703" t="n"/>
      <c r="K233" s="703" t="n"/>
      <c r="L233" s="703" t="n"/>
      <c r="M233" s="703" t="n"/>
      <c r="N233" s="703" t="n"/>
      <c r="O233" s="703" t="n"/>
      <c r="P233" s="703" t="n"/>
      <c r="Q233" s="703" t="n"/>
      <c r="R233" s="703" t="n"/>
      <c r="S233" s="703" t="n"/>
      <c r="T233" s="703" t="n"/>
      <c r="U233" s="703" t="n"/>
      <c r="V233" s="703" t="n"/>
      <c r="W233" s="703" t="n"/>
      <c r="X233" s="703" t="n"/>
      <c r="Y233" s="703" t="n"/>
      <c r="Z233" s="703" t="n"/>
      <c r="AA233" s="703" t="n"/>
      <c r="AB233" s="703" t="n"/>
      <c r="AC233" s="703" t="n"/>
      <c r="AD233" s="703" t="n"/>
      <c r="AE233" s="703" t="n"/>
      <c r="AF233" s="703" t="n"/>
      <c r="AG233" s="636" t="n"/>
      <c r="AH233" s="786" t="inlineStr">
        <is>
          <t>รวม</t>
        </is>
      </c>
      <c r="AI233" s="782" t="n"/>
      <c r="AJ233" s="783" t="n"/>
      <c r="AK233" s="645">
        <f>SUM(AK37:AK232)</f>
        <v/>
      </c>
    </row>
    <row r="234">
      <c r="A234" s="403" t="n"/>
      <c r="B234" s="404" t="n"/>
      <c r="C234" s="404" t="n"/>
      <c r="D234" s="404" t="n"/>
      <c r="E234" s="404" t="n"/>
      <c r="F234" s="404" t="n"/>
      <c r="G234" s="404" t="n"/>
      <c r="H234" s="404" t="n"/>
      <c r="I234" s="404" t="n"/>
      <c r="J234" s="404" t="n"/>
      <c r="K234" s="404" t="n"/>
      <c r="L234" s="404" t="n"/>
      <c r="M234" s="404" t="n"/>
      <c r="N234" s="404" t="n"/>
      <c r="O234" s="404" t="n"/>
      <c r="P234" s="404" t="n"/>
      <c r="Q234" s="404" t="n"/>
      <c r="R234" s="404" t="n"/>
      <c r="S234" s="404" t="n"/>
      <c r="T234" s="404" t="n"/>
      <c r="U234" s="404" t="n"/>
      <c r="V234" s="404" t="n"/>
      <c r="W234" s="404" t="n"/>
      <c r="X234" s="404" t="n"/>
      <c r="Y234" s="404" t="n"/>
      <c r="Z234" s="404" t="n"/>
      <c r="AA234" s="404" t="n"/>
      <c r="AB234" s="404" t="n"/>
      <c r="AC234" s="404" t="n"/>
      <c r="AD234" s="404" t="n"/>
      <c r="AE234" s="700" t="inlineStr">
        <is>
          <t>หักคะแนน</t>
        </is>
      </c>
      <c r="AJ234" s="784" t="n"/>
      <c r="AK234" s="638" t="n"/>
    </row>
    <row r="235">
      <c r="A235" s="403" t="n"/>
      <c r="B235" s="404" t="n"/>
      <c r="C235" s="404" t="n"/>
      <c r="D235" s="404" t="n"/>
      <c r="E235" s="404" t="n"/>
      <c r="F235" s="404" t="n"/>
      <c r="G235" s="404" t="n"/>
      <c r="H235" s="404" t="n"/>
      <c r="I235" s="404" t="n"/>
      <c r="J235" s="404" t="n"/>
      <c r="K235" s="404" t="n"/>
      <c r="L235" s="404" t="n"/>
      <c r="M235" s="404" t="n"/>
      <c r="N235" s="404" t="n"/>
      <c r="O235" s="404" t="n"/>
      <c r="P235" s="404" t="n"/>
      <c r="Q235" s="404" t="n"/>
      <c r="R235" s="404" t="n"/>
      <c r="S235" s="404" t="n"/>
      <c r="T235" s="404" t="n"/>
      <c r="U235" s="404" t="n"/>
      <c r="V235" s="404" t="n"/>
      <c r="W235" s="404" t="n"/>
      <c r="X235" s="404" t="n"/>
      <c r="Y235" s="404" t="n"/>
      <c r="Z235" s="404" t="n"/>
      <c r="AA235" s="404" t="n"/>
      <c r="AB235" s="404" t="n"/>
      <c r="AC235" s="404" t="n"/>
      <c r="AD235" s="404" t="n"/>
      <c r="AE235" s="404" t="n"/>
      <c r="AF235" s="702" t="inlineStr">
        <is>
          <t>คะแนนสุทธิ</t>
        </is>
      </c>
      <c r="AJ235" s="784" t="n"/>
      <c r="AK235" s="638">
        <f>AK233-AK234</f>
        <v/>
      </c>
    </row>
    <row r="236">
      <c r="A236" s="408" t="n"/>
      <c r="B236" s="404" t="n"/>
      <c r="C236" s="404" t="n"/>
      <c r="D236" s="404" t="n"/>
      <c r="E236" s="404" t="n"/>
      <c r="F236" s="404" t="n"/>
      <c r="G236" s="404" t="n"/>
      <c r="H236" s="404" t="n"/>
      <c r="I236" s="404" t="n"/>
      <c r="J236" s="404" t="n"/>
      <c r="K236" s="404" t="n"/>
      <c r="L236" s="404" t="n"/>
      <c r="M236" s="404" t="n"/>
      <c r="N236" s="404" t="n"/>
      <c r="O236" s="404" t="n"/>
      <c r="P236" s="404" t="n"/>
      <c r="Q236" s="404" t="n"/>
      <c r="R236" s="404" t="n"/>
      <c r="S236" s="404" t="n"/>
      <c r="T236" s="404" t="n"/>
      <c r="U236" s="404" t="n"/>
      <c r="V236" s="404" t="n"/>
      <c r="W236" s="404" t="n"/>
      <c r="X236" s="404" t="n"/>
      <c r="Y236" s="404" t="n"/>
      <c r="Z236" s="404" t="n"/>
      <c r="AA236" s="404" t="n"/>
      <c r="AB236" s="404" t="n"/>
      <c r="AC236" s="699" t="n"/>
      <c r="AD236" s="699" t="n"/>
      <c r="AE236" s="699" t="n"/>
      <c r="AF236" s="699" t="n"/>
      <c r="AG236" s="700" t="inlineStr">
        <is>
          <t>แต้มประกัน</t>
        </is>
      </c>
      <c r="AJ236" s="784" t="n"/>
      <c r="AK236" s="639" t="n">
        <v>1200</v>
      </c>
    </row>
    <row r="237">
      <c r="A237" s="640" t="inlineStr">
        <is>
          <t>ข้าพเจ้า .................................................................... ขอรับรองว่าได้ปฎิบัติงานจริง</t>
        </is>
      </c>
      <c r="B237" s="695" t="n"/>
      <c r="C237" s="695" t="n"/>
      <c r="D237" s="695" t="n"/>
      <c r="E237" s="695" t="n"/>
      <c r="F237" s="695" t="n"/>
      <c r="G237" s="695" t="n"/>
      <c r="H237" s="695" t="n"/>
      <c r="I237" s="695" t="n"/>
      <c r="J237" s="703" t="n"/>
      <c r="K237" s="703" t="inlineStr">
        <is>
          <t xml:space="preserve">ลงชื่อ...........................................................     </t>
        </is>
      </c>
      <c r="L237" s="772" t="n"/>
      <c r="M237" s="772" t="n"/>
      <c r="N237" s="772" t="n"/>
      <c r="O237" s="772" t="n"/>
      <c r="P237" s="772" t="n"/>
      <c r="Q237" s="772" t="n"/>
      <c r="R237" s="772" t="n"/>
      <c r="S237" s="772" t="n"/>
      <c r="T237" s="772" t="n"/>
      <c r="U237" s="772" t="n"/>
      <c r="V237" s="772" t="n"/>
      <c r="W237" s="695" t="n"/>
      <c r="X237" s="695" t="n"/>
      <c r="Y237" s="695" t="n"/>
      <c r="Z237" s="641" t="n"/>
      <c r="AA237" s="642" t="n"/>
      <c r="AB237" s="404" t="n"/>
      <c r="AC237" s="700" t="inlineStr">
        <is>
          <t xml:space="preserve">  ส่วนต่างแต้ม</t>
        </is>
      </c>
      <c r="AJ237" s="784" t="n"/>
      <c r="AK237" s="626">
        <f>AK235-AK236</f>
        <v/>
      </c>
    </row>
    <row r="238" ht="25" customHeight="1">
      <c r="A238" s="414" t="inlineStr">
        <is>
          <t>ลงชื่อ .......................................................................</t>
        </is>
      </c>
      <c r="B238" s="695" t="n"/>
      <c r="C238" s="695" t="n"/>
      <c r="D238" s="695" t="n"/>
      <c r="E238" s="695" t="n"/>
      <c r="F238" s="695" t="n"/>
      <c r="G238" s="695" t="n"/>
      <c r="H238" s="695" t="n"/>
      <c r="I238" s="695" t="n"/>
      <c r="J238" s="641" t="n"/>
      <c r="K238" s="695" t="n"/>
      <c r="L238" s="695" t="inlineStr">
        <is>
          <t>(.......................................................................)</t>
        </is>
      </c>
      <c r="M238" s="772" t="n"/>
      <c r="N238" s="772" t="n"/>
      <c r="O238" s="772" t="n"/>
      <c r="P238" s="772" t="n"/>
      <c r="Q238" s="772" t="n"/>
      <c r="R238" s="772" t="n"/>
      <c r="S238" s="772" t="n"/>
      <c r="T238" s="772" t="n"/>
      <c r="U238" s="772" t="n"/>
      <c r="V238" s="772" t="n"/>
      <c r="W238" s="772" t="n"/>
      <c r="X238" s="695" t="n"/>
      <c r="Y238" s="695" t="n"/>
      <c r="Z238" s="641" t="n"/>
      <c r="AA238" s="642" t="n"/>
      <c r="AB238" s="642" t="n"/>
      <c r="AC238" s="642" t="n"/>
      <c r="AD238" s="642" t="n"/>
      <c r="AE238" s="642" t="n"/>
      <c r="AF238" s="642" t="n"/>
      <c r="AG238" s="642" t="n"/>
      <c r="AH238" s="642" t="n"/>
      <c r="AI238" s="642" t="n"/>
      <c r="AJ238" s="642" t="n"/>
      <c r="AK238" s="643" t="n"/>
    </row>
    <row r="239" ht="25" customHeight="1">
      <c r="A239" s="414" t="inlineStr">
        <is>
          <t xml:space="preserve">          ( .......................................................... )</t>
        </is>
      </c>
      <c r="B239" s="695" t="n"/>
      <c r="C239" s="695" t="n"/>
      <c r="D239" s="695" t="n"/>
      <c r="E239" s="695" t="n"/>
      <c r="F239" s="695" t="n"/>
      <c r="G239" s="695" t="n"/>
      <c r="H239" s="695" t="n"/>
      <c r="I239" s="695" t="n"/>
      <c r="J239" s="641" t="n"/>
      <c r="K239" s="695" t="inlineStr">
        <is>
          <t xml:space="preserve">   หัวหน้าหน่วยงาน................................................</t>
        </is>
      </c>
      <c r="L239" s="695" t="n"/>
      <c r="M239" s="695" t="n"/>
      <c r="N239" s="695" t="n"/>
      <c r="O239" s="695" t="n"/>
      <c r="P239" s="695" t="n"/>
      <c r="Q239" s="695" t="n"/>
      <c r="R239" s="695" t="n"/>
      <c r="S239" s="695" t="n"/>
      <c r="T239" s="695" t="n"/>
      <c r="U239" s="695" t="n"/>
      <c r="V239" s="695" t="n"/>
      <c r="W239" s="695" t="n"/>
      <c r="X239" s="695" t="n"/>
      <c r="Y239" s="695" t="n"/>
      <c r="Z239" s="641" t="n"/>
      <c r="AA239" s="642" t="n"/>
      <c r="AB239" s="642" t="n"/>
      <c r="AC239" s="642" t="n"/>
      <c r="AD239" s="642" t="n"/>
      <c r="AE239" s="642" t="n"/>
      <c r="AF239" s="642" t="n"/>
      <c r="AG239" s="642" t="n"/>
      <c r="AH239" s="642" t="n"/>
      <c r="AI239" s="642" t="n"/>
      <c r="AJ239" s="642" t="n"/>
      <c r="AK239" s="643" t="n"/>
    </row>
    <row r="240" ht="25" customHeight="1">
      <c r="A240" s="414" t="inlineStr">
        <is>
          <t xml:space="preserve">              ตำแหน่ง ข้าราชการสัญญาบัตร</t>
        </is>
      </c>
      <c r="B240" s="695" t="n"/>
      <c r="C240" s="695" t="n"/>
      <c r="D240" s="695" t="n"/>
      <c r="E240" s="695" t="n"/>
      <c r="F240" s="695" t="n"/>
      <c r="G240" s="695" t="n"/>
      <c r="H240" s="695" t="n"/>
      <c r="I240" s="695" t="n"/>
      <c r="J240" s="641" t="n"/>
      <c r="K240" s="641" t="n"/>
      <c r="L240" s="641" t="n"/>
      <c r="M240" s="641" t="n"/>
      <c r="N240" s="641" t="n"/>
      <c r="O240" s="641" t="n"/>
      <c r="P240" s="641" t="n"/>
      <c r="Q240" s="641" t="n"/>
      <c r="R240" s="641" t="n"/>
      <c r="S240" s="641" t="n"/>
      <c r="T240" s="641" t="n"/>
      <c r="U240" s="641" t="n"/>
      <c r="V240" s="641" t="n"/>
      <c r="W240" s="641" t="n"/>
      <c r="X240" s="641" t="n"/>
      <c r="Y240" s="641" t="n"/>
      <c r="Z240" s="641" t="n"/>
      <c r="AA240" s="642" t="n"/>
      <c r="AB240" s="642" t="n"/>
      <c r="AC240" s="642" t="n"/>
      <c r="AD240" s="642" t="n"/>
      <c r="AE240" s="642" t="n"/>
      <c r="AF240" s="642" t="n"/>
      <c r="AG240" s="642" t="n"/>
      <c r="AH240" s="642" t="n"/>
      <c r="AI240" s="642" t="n"/>
      <c r="AJ240" s="642" t="n"/>
      <c r="AK240" s="643" t="n"/>
    </row>
    <row r="241">
      <c r="A241" s="416" t="n"/>
      <c r="B241" s="417" t="n"/>
      <c r="C241" s="417" t="n"/>
      <c r="D241" s="417" t="n"/>
      <c r="E241" s="161" t="n"/>
      <c r="F241" s="161" t="n"/>
      <c r="G241" s="161" t="n"/>
      <c r="H241" s="161" t="n"/>
      <c r="I241" s="161" t="n"/>
      <c r="J241" s="161" t="n"/>
      <c r="K241" s="161" t="n"/>
      <c r="L241" s="161" t="n"/>
      <c r="M241" s="161" t="n"/>
      <c r="N241" s="161" t="n"/>
      <c r="O241" s="161" t="n"/>
      <c r="P241" s="161" t="n"/>
      <c r="Q241" s="161" t="n"/>
      <c r="R241" s="161" t="n"/>
      <c r="S241" s="161" t="n"/>
      <c r="T241" s="161" t="n"/>
      <c r="U241" s="161" t="n"/>
      <c r="V241" s="161" t="n"/>
      <c r="W241" s="161" t="n"/>
      <c r="X241" s="161" t="n"/>
      <c r="Y241" s="161" t="n"/>
      <c r="Z241" s="161" t="n"/>
      <c r="AA241" s="161" t="n"/>
      <c r="AB241" s="161" t="n"/>
      <c r="AC241" s="161" t="n"/>
      <c r="AD241" s="161" t="n"/>
      <c r="AE241" s="161" t="n"/>
      <c r="AF241" s="161" t="n"/>
      <c r="AG241" s="161" t="n"/>
      <c r="AH241" s="161" t="n"/>
      <c r="AI241" s="161" t="n"/>
      <c r="AJ241" s="161" t="n"/>
      <c r="AK241" s="644" t="n"/>
    </row>
  </sheetData>
  <mergeCells count="19">
    <mergeCell ref="B218:C218"/>
    <mergeCell ref="B227:C227"/>
    <mergeCell ref="K237:V237"/>
    <mergeCell ref="AC237:AJ237"/>
    <mergeCell ref="AF235:AJ235"/>
    <mergeCell ref="B219:C219"/>
    <mergeCell ref="A3:AJ3"/>
    <mergeCell ref="B229:C229"/>
    <mergeCell ref="A2:AJ2"/>
    <mergeCell ref="B6:D6"/>
    <mergeCell ref="B127:AK127"/>
    <mergeCell ref="A4:A5"/>
    <mergeCell ref="AG236:AJ236"/>
    <mergeCell ref="AH233:AJ233"/>
    <mergeCell ref="L238:W238"/>
    <mergeCell ref="AE234:AJ234"/>
    <mergeCell ref="E4:AI4"/>
    <mergeCell ref="B7:AK7"/>
    <mergeCell ref="A1:AJ1"/>
  </mergeCells>
  <printOptions horizontalCentered="1"/>
  <pageMargins left="0.1181102362204725" right="0.1181102362204725" top="0.5511811023622047" bottom="0.3543307086614174" header="0.3149606299212598" footer="0.3149606299212598"/>
  <pageSetup orientation="landscape" paperSize="9" scale="75"/>
</worksheet>
</file>

<file path=xl/worksheets/sheet4.xml><?xml version="1.0" encoding="utf-8"?>
<worksheet xmlns="http://schemas.openxmlformats.org/spreadsheetml/2006/main">
  <sheetPr>
    <tabColor rgb="FF00B050"/>
    <outlinePr summaryBelow="1" summaryRight="1"/>
    <pageSetUpPr/>
  </sheetPr>
  <dimension ref="A1:AK863"/>
  <sheetViews>
    <sheetView showGridLines="0" topLeftCell="A170" zoomScale="110" zoomScaleNormal="110" workbookViewId="0">
      <selection activeCell="A56" sqref="A56"/>
    </sheetView>
  </sheetViews>
  <sheetFormatPr baseColWidth="10" defaultColWidth="11.33203125" defaultRowHeight="24"/>
  <cols>
    <col width="46" customWidth="1" style="68" min="1" max="1"/>
    <col width="6.1640625" customWidth="1" style="68" min="2" max="4"/>
    <col width="2.83203125" customWidth="1" style="68" min="5" max="35"/>
    <col width="7.1640625" customWidth="1" style="68" min="36" max="36"/>
    <col width="8.33203125" customWidth="1" style="68" min="37" max="37"/>
    <col width="11.33203125" customWidth="1" style="68" min="38" max="16384"/>
  </cols>
  <sheetData>
    <row r="1">
      <c r="A1" s="717" t="inlineStr">
        <is>
          <r>
            <t xml:space="preserve">แบบจัดเก็บคะแนนภาระงาน ( Work point )  โรงพยาบาลสมเด็จพระปิ่นเกล้า  </t>
          </r>
          <r>
            <rPr>
              <rFont val="TH SarabunPSK"/>
              <family val="2"/>
              <b val="1"/>
              <color rgb="FFFF0000"/>
              <sz val="16"/>
            </rPr>
            <t>(Update  ส.ค. 69)</t>
          </r>
        </is>
      </c>
    </row>
    <row r="2">
      <c r="A2" s="717" t="inlineStr">
        <is>
          <r>
            <t xml:space="preserve">สำหรับผู้ปฏิบัติงาน </t>
          </r>
          <r>
            <rPr>
              <rFont val="TH SarabunPSK"/>
              <family val="2"/>
              <b val="1"/>
              <color rgb="FFFF0000"/>
              <sz val="16"/>
            </rPr>
            <t>พนักงานบริการ  พนักงานช่วยการพยาบาล</t>
          </r>
          <r>
            <rPr>
              <rFont val="TH SarabunPSK"/>
              <family val="2"/>
              <b val="1"/>
              <color theme="1"/>
              <sz val="16"/>
            </rPr>
            <t xml:space="preserve">  หน่วยงาน / แผนก  </t>
          </r>
          <r>
            <rPr>
              <rFont val="TH SarabunPSK"/>
              <family val="2"/>
              <b val="1"/>
              <color rgb="FFFF0000"/>
              <sz val="16"/>
            </rPr>
            <t>.........................................................</t>
          </r>
          <r>
            <rPr>
              <rFont val="TH SarabunPSK"/>
              <family val="2"/>
              <b val="1"/>
              <color theme="1"/>
              <sz val="16"/>
            </rPr>
            <t xml:space="preserve">   แต้มประกัน 600 แต้ม  คิดเป็น 0.071 แต้ม/นาที</t>
          </r>
        </is>
      </c>
    </row>
    <row r="3">
      <c r="A3" s="719" t="inlineStr">
        <is>
          <r>
            <t xml:space="preserve">ชื่อผู้ปฏิบัติงาน </t>
          </r>
          <r>
            <rPr>
              <rFont val="TH SarabunPSK"/>
              <family val="2"/>
              <b val="1"/>
              <color rgb="FFFF0000"/>
              <sz val="16"/>
            </rPr>
            <t>……...............................................................</t>
          </r>
          <r>
            <rPr>
              <rFont val="TH SarabunPSK"/>
              <family val="2"/>
              <b val="1"/>
              <color theme="1"/>
              <sz val="16"/>
            </rPr>
            <t xml:space="preserve"> ตำแหน่ง  ............................................   เดือน </t>
          </r>
          <r>
            <rPr>
              <rFont val="TH SarabunPSK"/>
              <family val="2"/>
              <b val="1"/>
              <color rgb="FFFF0000"/>
              <sz val="16"/>
            </rPr>
            <t>…….................................</t>
          </r>
          <r>
            <rPr>
              <rFont val="TH SarabunPSK"/>
              <family val="2"/>
              <b val="1"/>
              <color theme="1"/>
              <sz val="16"/>
            </rPr>
            <t xml:space="preserve">  พ.ศ...................</t>
          </r>
        </is>
      </c>
      <c r="B3" s="768" t="n"/>
      <c r="C3" s="768" t="n"/>
      <c r="D3" s="768" t="n"/>
      <c r="E3" s="768" t="n"/>
      <c r="F3" s="768" t="n"/>
      <c r="G3" s="768" t="n"/>
      <c r="H3" s="768" t="n"/>
      <c r="I3" s="768" t="n"/>
      <c r="J3" s="768" t="n"/>
      <c r="K3" s="768" t="n"/>
      <c r="L3" s="768" t="n"/>
      <c r="M3" s="768" t="n"/>
      <c r="N3" s="768" t="n"/>
      <c r="O3" s="768" t="n"/>
      <c r="P3" s="768" t="n"/>
      <c r="Q3" s="768" t="n"/>
      <c r="R3" s="768" t="n"/>
      <c r="S3" s="768" t="n"/>
      <c r="T3" s="768" t="n"/>
      <c r="U3" s="768" t="n"/>
      <c r="V3" s="768" t="n"/>
      <c r="W3" s="768" t="n"/>
      <c r="X3" s="768" t="n"/>
      <c r="Y3" s="768" t="n"/>
      <c r="Z3" s="768" t="n"/>
      <c r="AA3" s="768" t="n"/>
      <c r="AB3" s="768" t="n"/>
      <c r="AC3" s="768" t="n"/>
      <c r="AD3" s="768" t="n"/>
      <c r="AE3" s="768" t="n"/>
      <c r="AF3" s="768" t="n"/>
      <c r="AG3" s="768" t="n"/>
      <c r="AH3" s="768" t="n"/>
      <c r="AI3" s="768" t="n"/>
      <c r="AJ3" s="768" t="n"/>
      <c r="AK3" s="454" t="n"/>
    </row>
    <row r="4">
      <c r="A4" s="787" t="inlineStr">
        <is>
          <t>ภาระงาน</t>
        </is>
      </c>
      <c r="B4" s="455" t="inlineStr">
        <is>
          <t>หน่วย</t>
        </is>
      </c>
      <c r="C4" s="455" t="inlineStr">
        <is>
          <t>เวลา</t>
        </is>
      </c>
      <c r="D4" s="455" t="inlineStr">
        <is>
          <t>Point</t>
        </is>
      </c>
      <c r="E4" s="456" t="inlineStr">
        <is>
          <t>ปริมาณงาน (รายวัน/รายสัปดาห์/รายเดือน)</t>
        </is>
      </c>
      <c r="F4" s="768" t="n"/>
      <c r="G4" s="768" t="n"/>
      <c r="H4" s="768" t="n"/>
      <c r="I4" s="768" t="n"/>
      <c r="J4" s="768" t="n"/>
      <c r="K4" s="768" t="n"/>
      <c r="L4" s="768" t="n"/>
      <c r="M4" s="768" t="n"/>
      <c r="N4" s="768" t="n"/>
      <c r="O4" s="768" t="n"/>
      <c r="P4" s="768" t="n"/>
      <c r="Q4" s="768" t="n"/>
      <c r="R4" s="768" t="n"/>
      <c r="S4" s="768" t="n"/>
      <c r="T4" s="768" t="n"/>
      <c r="U4" s="768" t="n"/>
      <c r="V4" s="768" t="n"/>
      <c r="W4" s="768" t="n"/>
      <c r="X4" s="768" t="n"/>
      <c r="Y4" s="768" t="n"/>
      <c r="Z4" s="768" t="n"/>
      <c r="AA4" s="768" t="n"/>
      <c r="AB4" s="768" t="n"/>
      <c r="AC4" s="768" t="n"/>
      <c r="AD4" s="768" t="n"/>
      <c r="AE4" s="768" t="n"/>
      <c r="AF4" s="768" t="n"/>
      <c r="AG4" s="768" t="n"/>
      <c r="AH4" s="768" t="n"/>
      <c r="AI4" s="788" t="n"/>
      <c r="AJ4" s="456" t="n"/>
      <c r="AK4" s="457" t="n"/>
    </row>
    <row r="5">
      <c r="A5" s="789" t="n"/>
      <c r="B5" s="455" t="inlineStr">
        <is>
          <t>นับ</t>
        </is>
      </c>
      <c r="C5" s="455" t="inlineStr">
        <is>
          <t>(นาที)</t>
        </is>
      </c>
      <c r="D5" s="455" t="inlineStr">
        <is>
          <t>(แต้ม)</t>
        </is>
      </c>
      <c r="E5" s="455" t="n">
        <v>1</v>
      </c>
      <c r="F5" s="455" t="n">
        <v>2</v>
      </c>
      <c r="G5" s="455" t="n">
        <v>3</v>
      </c>
      <c r="H5" s="455" t="n">
        <v>4</v>
      </c>
      <c r="I5" s="455" t="n">
        <v>5</v>
      </c>
      <c r="J5" s="455" t="n">
        <v>6</v>
      </c>
      <c r="K5" s="455" t="n">
        <v>7</v>
      </c>
      <c r="L5" s="455" t="n">
        <v>8</v>
      </c>
      <c r="M5" s="455" t="n">
        <v>9</v>
      </c>
      <c r="N5" s="455" t="n">
        <v>10</v>
      </c>
      <c r="O5" s="455" t="n">
        <v>11</v>
      </c>
      <c r="P5" s="455" t="n">
        <v>12</v>
      </c>
      <c r="Q5" s="455" t="n">
        <v>13</v>
      </c>
      <c r="R5" s="455" t="n">
        <v>14</v>
      </c>
      <c r="S5" s="455" t="n">
        <v>15</v>
      </c>
      <c r="T5" s="455" t="n">
        <v>16</v>
      </c>
      <c r="U5" s="455" t="n">
        <v>17</v>
      </c>
      <c r="V5" s="455" t="n">
        <v>18</v>
      </c>
      <c r="W5" s="455" t="n">
        <v>19</v>
      </c>
      <c r="X5" s="455" t="n">
        <v>20</v>
      </c>
      <c r="Y5" s="455" t="n">
        <v>21</v>
      </c>
      <c r="Z5" s="455" t="n">
        <v>22</v>
      </c>
      <c r="AA5" s="455" t="n">
        <v>23</v>
      </c>
      <c r="AB5" s="455" t="n">
        <v>24</v>
      </c>
      <c r="AC5" s="455" t="n">
        <v>25</v>
      </c>
      <c r="AD5" s="455" t="n">
        <v>26</v>
      </c>
      <c r="AE5" s="455" t="n">
        <v>27</v>
      </c>
      <c r="AF5" s="455" t="n">
        <v>28</v>
      </c>
      <c r="AG5" s="455" t="n">
        <v>29</v>
      </c>
      <c r="AH5" s="455" t="n">
        <v>30</v>
      </c>
      <c r="AI5" s="455" t="n">
        <v>31</v>
      </c>
      <c r="AJ5" s="455" t="inlineStr">
        <is>
          <t>รวม</t>
        </is>
      </c>
      <c r="AK5" s="455" t="inlineStr">
        <is>
          <t>รวมแต้ม</t>
        </is>
      </c>
    </row>
    <row r="6">
      <c r="A6" s="458" t="inlineStr">
        <is>
          <t>เวร</t>
        </is>
      </c>
      <c r="B6" s="724" t="n"/>
      <c r="C6" s="727" t="n"/>
      <c r="D6" s="727" t="n"/>
      <c r="E6" s="459" t="n"/>
      <c r="F6" s="459" t="n"/>
      <c r="G6" s="459" t="n"/>
      <c r="H6" s="459" t="n"/>
      <c r="I6" s="459" t="n"/>
      <c r="J6" s="459" t="n"/>
      <c r="K6" s="459" t="n"/>
      <c r="L6" s="459" t="n"/>
      <c r="M6" s="459" t="n"/>
      <c r="N6" s="459" t="n"/>
      <c r="O6" s="459" t="n"/>
      <c r="P6" s="459" t="n"/>
      <c r="Q6" s="459" t="n"/>
      <c r="R6" s="459" t="n"/>
      <c r="S6" s="459" t="n"/>
      <c r="T6" s="459" t="n"/>
      <c r="U6" s="459" t="n"/>
      <c r="V6" s="459" t="n"/>
      <c r="W6" s="459" t="n"/>
      <c r="X6" s="459" t="n"/>
      <c r="Y6" s="459" t="n"/>
      <c r="Z6" s="459" t="n"/>
      <c r="AA6" s="459" t="n"/>
      <c r="AB6" s="459" t="n"/>
      <c r="AC6" s="459" t="n"/>
      <c r="AD6" s="459" t="n"/>
      <c r="AE6" s="459" t="n"/>
      <c r="AF6" s="459" t="n"/>
      <c r="AG6" s="459" t="n"/>
      <c r="AH6" s="459" t="n"/>
      <c r="AI6" s="459" t="n"/>
      <c r="AJ6" s="304" t="n"/>
      <c r="AK6" s="305" t="n"/>
    </row>
    <row r="7">
      <c r="A7" s="460" t="inlineStr">
        <is>
          <t>บริหาร</t>
        </is>
      </c>
      <c r="B7" s="724" t="n"/>
      <c r="C7" s="23" t="n"/>
      <c r="D7" s="23" t="n"/>
      <c r="E7" s="461" t="n"/>
      <c r="F7" s="461" t="n"/>
      <c r="G7" s="461" t="n"/>
      <c r="H7" s="461" t="n"/>
      <c r="I7" s="461" t="n"/>
      <c r="J7" s="461" t="n"/>
      <c r="K7" s="461" t="n"/>
      <c r="L7" s="461" t="n"/>
      <c r="M7" s="461" t="n"/>
      <c r="N7" s="461" t="n"/>
      <c r="O7" s="461" t="n"/>
      <c r="P7" s="461" t="n"/>
      <c r="Q7" s="461" t="n"/>
      <c r="R7" s="461" t="n"/>
      <c r="S7" s="461" t="n"/>
      <c r="T7" s="461" t="n"/>
      <c r="U7" s="461" t="n"/>
      <c r="V7" s="461" t="n"/>
      <c r="W7" s="461" t="n"/>
      <c r="X7" s="461" t="n"/>
      <c r="Y7" s="461" t="n"/>
      <c r="Z7" s="461" t="n"/>
      <c r="AA7" s="461" t="n"/>
      <c r="AB7" s="461" t="n"/>
      <c r="AC7" s="461" t="n"/>
      <c r="AD7" s="461" t="n"/>
      <c r="AE7" s="461" t="n"/>
      <c r="AF7" s="461" t="n"/>
      <c r="AG7" s="461" t="n"/>
      <c r="AH7" s="461" t="n"/>
      <c r="AI7" s="461" t="n"/>
      <c r="AJ7" s="461" t="n"/>
      <c r="AK7" s="462" t="n"/>
    </row>
    <row r="8">
      <c r="A8" s="463" t="inlineStr">
        <is>
          <t>การประชุม</t>
        </is>
      </c>
      <c r="B8" s="295" t="n"/>
      <c r="C8" s="296" t="n"/>
      <c r="D8" s="296" t="n"/>
      <c r="E8" s="464" t="n"/>
      <c r="F8" s="464" t="n"/>
      <c r="G8" s="464" t="n"/>
      <c r="H8" s="464" t="n"/>
      <c r="I8" s="464" t="n"/>
      <c r="J8" s="464" t="n"/>
      <c r="K8" s="464" t="n"/>
      <c r="L8" s="464" t="n"/>
      <c r="M8" s="464" t="n"/>
      <c r="N8" s="464" t="n"/>
      <c r="O8" s="464" t="n"/>
      <c r="P8" s="464" t="n"/>
      <c r="Q8" s="464" t="n"/>
      <c r="R8" s="464" t="n"/>
      <c r="S8" s="464" t="n"/>
      <c r="T8" s="464" t="n"/>
      <c r="U8" s="464" t="n"/>
      <c r="V8" s="464" t="n"/>
      <c r="W8" s="464" t="n"/>
      <c r="X8" s="464" t="n"/>
      <c r="Y8" s="464" t="n"/>
      <c r="Z8" s="464" t="n"/>
      <c r="AA8" s="464" t="n"/>
      <c r="AB8" s="464" t="n"/>
      <c r="AC8" s="464" t="n"/>
      <c r="AD8" s="464" t="n"/>
      <c r="AE8" s="464" t="n"/>
      <c r="AF8" s="464" t="n"/>
      <c r="AG8" s="464" t="n"/>
      <c r="AH8" s="464" t="n"/>
      <c r="AI8" s="464" t="n"/>
      <c r="AJ8" s="464" t="n"/>
      <c r="AK8" s="465" t="n"/>
    </row>
    <row r="9" ht="25" customHeight="1">
      <c r="A9" s="466" t="inlineStr">
        <is>
          <t>1. ประชุมหน่วยขึ้นตรงโรงพยาบาลประจำเดือน</t>
        </is>
      </c>
      <c r="B9" s="54" t="inlineStr">
        <is>
          <t>ครั้ง</t>
        </is>
      </c>
      <c r="C9" s="108" t="inlineStr">
        <is>
          <t>เหมา</t>
        </is>
      </c>
      <c r="D9" s="108" t="n">
        <v>20</v>
      </c>
      <c r="E9" s="467" t="n"/>
      <c r="F9" s="467" t="n"/>
      <c r="G9" s="467" t="n"/>
      <c r="H9" s="467" t="n"/>
      <c r="I9" s="467" t="n"/>
      <c r="J9" s="467" t="n"/>
      <c r="K9" s="467" t="n"/>
      <c r="L9" s="467" t="n"/>
      <c r="M9" s="467" t="n"/>
      <c r="N9" s="467" t="n"/>
      <c r="O9" s="467" t="n"/>
      <c r="P9" s="467" t="n"/>
      <c r="Q9" s="467" t="n"/>
      <c r="R9" s="467" t="n"/>
      <c r="S9" s="467" t="n"/>
      <c r="T9" s="467" t="n"/>
      <c r="U9" s="467" t="n"/>
      <c r="V9" s="467" t="n"/>
      <c r="W9" s="467" t="n"/>
      <c r="X9" s="467" t="n"/>
      <c r="Y9" s="467" t="n"/>
      <c r="Z9" s="467" t="n"/>
      <c r="AA9" s="467" t="n"/>
      <c r="AB9" s="467" t="n"/>
      <c r="AC9" s="467" t="n"/>
      <c r="AD9" s="467" t="n"/>
      <c r="AE9" s="467" t="n"/>
      <c r="AF9" s="467" t="n"/>
      <c r="AG9" s="467" t="n"/>
      <c r="AH9" s="467" t="n"/>
      <c r="AI9" s="467" t="n"/>
      <c r="AJ9" s="50">
        <f>SUM(E9:AI9)</f>
        <v/>
      </c>
      <c r="AK9" s="50">
        <f>AJ9*D9</f>
        <v/>
      </c>
    </row>
    <row r="10" ht="25" customHeight="1">
      <c r="A10" s="466" t="inlineStr">
        <is>
          <t>2. ประชุมระดับโรงพยาบาล</t>
        </is>
      </c>
      <c r="B10" s="14" t="inlineStr">
        <is>
          <t>ครั้ง</t>
        </is>
      </c>
      <c r="C10" s="13" t="inlineStr">
        <is>
          <t>เหมา</t>
        </is>
      </c>
      <c r="D10" s="13" t="n">
        <v>20</v>
      </c>
      <c r="E10" s="468" t="n"/>
      <c r="F10" s="468" t="n"/>
      <c r="G10" s="468" t="n"/>
      <c r="H10" s="468" t="n"/>
      <c r="I10" s="468" t="n"/>
      <c r="J10" s="468" t="n"/>
      <c r="K10" s="468" t="n"/>
      <c r="L10" s="468" t="n"/>
      <c r="M10" s="468" t="n"/>
      <c r="N10" s="468" t="n"/>
      <c r="O10" s="468" t="n"/>
      <c r="P10" s="468" t="n"/>
      <c r="Q10" s="468" t="n"/>
      <c r="R10" s="468" t="n"/>
      <c r="S10" s="468" t="n"/>
      <c r="T10" s="468" t="n"/>
      <c r="U10" s="468" t="n"/>
      <c r="V10" s="468" t="n"/>
      <c r="W10" s="468" t="n"/>
      <c r="X10" s="468" t="n"/>
      <c r="Y10" s="468" t="n"/>
      <c r="Z10" s="468" t="n"/>
      <c r="AA10" s="468" t="n"/>
      <c r="AB10" s="468" t="n"/>
      <c r="AC10" s="468" t="n"/>
      <c r="AD10" s="468" t="n"/>
      <c r="AE10" s="468" t="n"/>
      <c r="AF10" s="468" t="n"/>
      <c r="AG10" s="468" t="n"/>
      <c r="AH10" s="468" t="n"/>
      <c r="AI10" s="468" t="n"/>
      <c r="AJ10" s="50">
        <f>SUM(E10:AI10)</f>
        <v/>
      </c>
      <c r="AK10" s="50">
        <f>AJ10*D10</f>
        <v/>
      </c>
    </row>
    <row r="11" ht="25" customHeight="1">
      <c r="A11" s="469" t="inlineStr">
        <is>
          <t>3. ประชุมระหว่างหน่วยงาน</t>
        </is>
      </c>
      <c r="B11" s="14" t="inlineStr">
        <is>
          <t>ครั้ง</t>
        </is>
      </c>
      <c r="C11" s="13" t="inlineStr">
        <is>
          <t>เหมา</t>
        </is>
      </c>
      <c r="D11" s="14" t="n">
        <v>20</v>
      </c>
      <c r="E11" s="468" t="n"/>
      <c r="F11" s="468" t="n"/>
      <c r="G11" s="468" t="n"/>
      <c r="H11" s="468" t="n"/>
      <c r="I11" s="468" t="n"/>
      <c r="J11" s="468" t="n"/>
      <c r="K11" s="468" t="n"/>
      <c r="L11" s="468" t="n"/>
      <c r="M11" s="468" t="n"/>
      <c r="N11" s="468" t="n"/>
      <c r="O11" s="468" t="n"/>
      <c r="P11" s="468" t="n"/>
      <c r="Q11" s="468" t="n"/>
      <c r="R11" s="468" t="n"/>
      <c r="S11" s="468" t="n"/>
      <c r="T11" s="468" t="n"/>
      <c r="U11" s="468" t="n"/>
      <c r="V11" s="468" t="n"/>
      <c r="W11" s="468" t="n"/>
      <c r="X11" s="468" t="n"/>
      <c r="Y11" s="468" t="n"/>
      <c r="Z11" s="468" t="n"/>
      <c r="AA11" s="468" t="n"/>
      <c r="AB11" s="468" t="n"/>
      <c r="AC11" s="468" t="n"/>
      <c r="AD11" s="468" t="n"/>
      <c r="AE11" s="468" t="n"/>
      <c r="AF11" s="468" t="n"/>
      <c r="AG11" s="468" t="n"/>
      <c r="AH11" s="468" t="n"/>
      <c r="AI11" s="468" t="n"/>
      <c r="AJ11" s="50">
        <f>SUM(E11:AI11)</f>
        <v/>
      </c>
      <c r="AK11" s="50">
        <f>AJ11*D11</f>
        <v/>
      </c>
    </row>
    <row r="12" ht="25" customHeight="1">
      <c r="A12" s="469" t="inlineStr">
        <is>
          <t>4. ประชุมภายในหน่วยงาน/กลุ่มงาน</t>
        </is>
      </c>
      <c r="B12" s="14" t="inlineStr">
        <is>
          <t>ครั้ง</t>
        </is>
      </c>
      <c r="C12" s="13" t="inlineStr">
        <is>
          <t>เหมา</t>
        </is>
      </c>
      <c r="D12" s="14" t="n">
        <v>20</v>
      </c>
      <c r="E12" s="468" t="n"/>
      <c r="F12" s="468" t="n"/>
      <c r="G12" s="468" t="n"/>
      <c r="H12" s="468" t="n"/>
      <c r="I12" s="468" t="n"/>
      <c r="J12" s="468" t="n"/>
      <c r="K12" s="468" t="n"/>
      <c r="L12" s="468" t="n"/>
      <c r="M12" s="468" t="n"/>
      <c r="N12" s="468" t="n"/>
      <c r="O12" s="468" t="n"/>
      <c r="P12" s="468" t="n"/>
      <c r="Q12" s="468" t="n"/>
      <c r="R12" s="468" t="n"/>
      <c r="S12" s="468" t="n"/>
      <c r="T12" s="468" t="n"/>
      <c r="U12" s="468" t="n"/>
      <c r="V12" s="468" t="n"/>
      <c r="W12" s="468" t="n"/>
      <c r="X12" s="468" t="n"/>
      <c r="Y12" s="468" t="n"/>
      <c r="Z12" s="468" t="n"/>
      <c r="AA12" s="468" t="n"/>
      <c r="AB12" s="468" t="n"/>
      <c r="AC12" s="468" t="n"/>
      <c r="AD12" s="468" t="n"/>
      <c r="AE12" s="468" t="n"/>
      <c r="AF12" s="468" t="n"/>
      <c r="AG12" s="468" t="n"/>
      <c r="AH12" s="468" t="n"/>
      <c r="AI12" s="468" t="n"/>
      <c r="AJ12" s="50">
        <f>SUM(E12:AI12)</f>
        <v/>
      </c>
      <c r="AK12" s="50">
        <f>AJ12*D12</f>
        <v/>
      </c>
    </row>
    <row r="13" ht="25" customHeight="1">
      <c r="A13" s="466" t="inlineStr">
        <is>
          <t>5. ประชุมระดับแผนก/หอผู้ป่วย/ห้องตรวจโรค</t>
        </is>
      </c>
      <c r="B13" s="14" t="inlineStr">
        <is>
          <t>ครั้ง</t>
        </is>
      </c>
      <c r="C13" s="13" t="inlineStr">
        <is>
          <t>เหมา</t>
        </is>
      </c>
      <c r="D13" s="14" t="n">
        <v>20</v>
      </c>
      <c r="E13" s="468" t="n"/>
      <c r="F13" s="468" t="n"/>
      <c r="G13" s="468" t="n"/>
      <c r="H13" s="468" t="n"/>
      <c r="I13" s="468" t="n"/>
      <c r="J13" s="468" t="n"/>
      <c r="K13" s="468" t="n"/>
      <c r="L13" s="468" t="n"/>
      <c r="M13" s="468" t="n"/>
      <c r="N13" s="468" t="n"/>
      <c r="O13" s="468" t="n"/>
      <c r="P13" s="468" t="n"/>
      <c r="Q13" s="468" t="n"/>
      <c r="R13" s="468" t="n"/>
      <c r="S13" s="468" t="n"/>
      <c r="T13" s="468" t="n"/>
      <c r="U13" s="468" t="n"/>
      <c r="V13" s="468" t="n"/>
      <c r="W13" s="468" t="n"/>
      <c r="X13" s="468" t="n"/>
      <c r="Y13" s="468" t="n"/>
      <c r="Z13" s="468" t="n"/>
      <c r="AA13" s="468" t="n"/>
      <c r="AB13" s="468" t="n"/>
      <c r="AC13" s="468" t="n"/>
      <c r="AD13" s="468" t="n"/>
      <c r="AE13" s="468" t="n"/>
      <c r="AF13" s="468" t="n"/>
      <c r="AG13" s="468" t="n"/>
      <c r="AH13" s="468" t="n"/>
      <c r="AI13" s="468" t="n"/>
      <c r="AJ13" s="50">
        <f>SUM(E13:AI13)</f>
        <v/>
      </c>
      <c r="AK13" s="50">
        <f>AJ13*D13</f>
        <v/>
      </c>
    </row>
    <row r="14" ht="25" customHeight="1">
      <c r="A14" s="466" t="inlineStr">
        <is>
          <t>6. ประชุมแก้ไขปัญหา/ข้อขัดข้องภายในแผนก</t>
        </is>
      </c>
      <c r="B14" s="14" t="inlineStr">
        <is>
          <t>ครั้ง</t>
        </is>
      </c>
      <c r="C14" s="13" t="inlineStr">
        <is>
          <t>เหมา</t>
        </is>
      </c>
      <c r="D14" s="14" t="n">
        <v>4.26</v>
      </c>
      <c r="E14" s="468" t="n"/>
      <c r="F14" s="468" t="n"/>
      <c r="G14" s="468" t="n"/>
      <c r="H14" s="468" t="n"/>
      <c r="I14" s="468" t="n"/>
      <c r="J14" s="468" t="n"/>
      <c r="K14" s="468" t="n"/>
      <c r="L14" s="468" t="n"/>
      <c r="M14" s="468" t="n"/>
      <c r="N14" s="468" t="n"/>
      <c r="O14" s="468" t="n"/>
      <c r="P14" s="468" t="n"/>
      <c r="Q14" s="468" t="n"/>
      <c r="R14" s="468" t="n"/>
      <c r="S14" s="468" t="n"/>
      <c r="T14" s="468" t="n"/>
      <c r="U14" s="468" t="n"/>
      <c r="V14" s="468" t="n"/>
      <c r="W14" s="468" t="n"/>
      <c r="X14" s="468" t="n"/>
      <c r="Y14" s="468" t="n"/>
      <c r="Z14" s="468" t="n"/>
      <c r="AA14" s="468" t="n"/>
      <c r="AB14" s="468" t="n"/>
      <c r="AC14" s="468" t="n"/>
      <c r="AD14" s="468" t="n"/>
      <c r="AE14" s="468" t="n"/>
      <c r="AF14" s="468" t="n"/>
      <c r="AG14" s="468" t="n"/>
      <c r="AH14" s="468" t="n"/>
      <c r="AI14" s="468" t="n"/>
      <c r="AJ14" s="50">
        <f>SUM(E14:AI14)</f>
        <v/>
      </c>
      <c r="AK14" s="50">
        <f>AJ14*D14</f>
        <v/>
      </c>
    </row>
    <row r="15" ht="44.25" customHeight="1">
      <c r="A15" s="466" t="inlineStr">
        <is>
          <t>7. ประชุมวิชาการ/กิจกรรมวิชาการระดับโรงพยาบาล
(ผู้เข้าร่วมประชุมมาจากบุคลากรหลายหน่วยในโรงพยาบาล)</t>
        </is>
      </c>
      <c r="B15" s="14" t="inlineStr">
        <is>
          <t>ครั้ง</t>
        </is>
      </c>
      <c r="C15" s="13" t="inlineStr">
        <is>
          <t>เหมา</t>
        </is>
      </c>
      <c r="D15" s="14" t="n">
        <v>20</v>
      </c>
      <c r="E15" s="468" t="n"/>
      <c r="F15" s="468" t="n"/>
      <c r="G15" s="468" t="n"/>
      <c r="H15" s="468" t="n"/>
      <c r="I15" s="468" t="n"/>
      <c r="J15" s="468" t="n"/>
      <c r="K15" s="468" t="n"/>
      <c r="L15" s="468" t="n"/>
      <c r="M15" s="468" t="n"/>
      <c r="N15" s="468" t="n"/>
      <c r="O15" s="468" t="n"/>
      <c r="P15" s="468" t="n"/>
      <c r="Q15" s="468" t="n"/>
      <c r="R15" s="468" t="n"/>
      <c r="S15" s="468" t="n"/>
      <c r="T15" s="468" t="n"/>
      <c r="U15" s="468" t="n"/>
      <c r="V15" s="468" t="n"/>
      <c r="W15" s="468" t="n"/>
      <c r="X15" s="468" t="n"/>
      <c r="Y15" s="468" t="n"/>
      <c r="Z15" s="468" t="n"/>
      <c r="AA15" s="468" t="n"/>
      <c r="AB15" s="468" t="n"/>
      <c r="AC15" s="468" t="n"/>
      <c r="AD15" s="468" t="n"/>
      <c r="AE15" s="468" t="n"/>
      <c r="AF15" s="468" t="n"/>
      <c r="AG15" s="468" t="n"/>
      <c r="AH15" s="468" t="n"/>
      <c r="AI15" s="468" t="n"/>
      <c r="AJ15" s="50">
        <f>SUM(E15:AI15)</f>
        <v/>
      </c>
      <c r="AK15" s="50">
        <f>AJ15*D15</f>
        <v/>
      </c>
    </row>
    <row r="16" ht="25" customHeight="1">
      <c r="A16" s="64" t="inlineStr">
        <is>
          <t>8. ประชุมวิชาการระหว่างหน่วยงาน/ภายในหน่วยงาน</t>
        </is>
      </c>
      <c r="B16" s="14" t="inlineStr">
        <is>
          <t>ครั้ง</t>
        </is>
      </c>
      <c r="C16" s="13" t="inlineStr">
        <is>
          <t>เหมา</t>
        </is>
      </c>
      <c r="D16" s="27" t="n">
        <v>20</v>
      </c>
      <c r="E16" s="468" t="n"/>
      <c r="F16" s="468" t="n"/>
      <c r="G16" s="468" t="n"/>
      <c r="H16" s="468" t="n"/>
      <c r="I16" s="468" t="n"/>
      <c r="J16" s="468" t="n"/>
      <c r="K16" s="468" t="n"/>
      <c r="L16" s="468" t="n"/>
      <c r="M16" s="468" t="n"/>
      <c r="N16" s="468" t="n"/>
      <c r="O16" s="468" t="n"/>
      <c r="P16" s="468" t="n"/>
      <c r="Q16" s="468" t="n"/>
      <c r="R16" s="468" t="n"/>
      <c r="S16" s="468" t="n"/>
      <c r="T16" s="468" t="n"/>
      <c r="U16" s="468" t="n"/>
      <c r="V16" s="468" t="n"/>
      <c r="W16" s="468" t="n"/>
      <c r="X16" s="468" t="n"/>
      <c r="Y16" s="468" t="n"/>
      <c r="Z16" s="468" t="n"/>
      <c r="AA16" s="468" t="n"/>
      <c r="AB16" s="468" t="n"/>
      <c r="AC16" s="468" t="n"/>
      <c r="AD16" s="468" t="n"/>
      <c r="AE16" s="468" t="n"/>
      <c r="AF16" s="468" t="n"/>
      <c r="AG16" s="468" t="n"/>
      <c r="AH16" s="468" t="n"/>
      <c r="AI16" s="468" t="n"/>
      <c r="AJ16" s="50">
        <f>SUM(E16:AI16)</f>
        <v/>
      </c>
      <c r="AK16" s="50">
        <f>AJ16*D16</f>
        <v/>
      </c>
    </row>
    <row r="17" ht="25" customHeight="1">
      <c r="A17" s="470" t="inlineStr">
        <is>
          <t>9. ประชุมภายใน รพ. (ประธาน, เลขาฯ)</t>
        </is>
      </c>
      <c r="B17" s="471" t="inlineStr">
        <is>
          <t xml:space="preserve">ครั้ง </t>
        </is>
      </c>
      <c r="C17" s="472" t="inlineStr">
        <is>
          <t>เหมา</t>
        </is>
      </c>
      <c r="D17" s="472" t="n">
        <v>25</v>
      </c>
      <c r="E17" s="459" t="n"/>
      <c r="F17" s="459" t="n"/>
      <c r="G17" s="459" t="n"/>
      <c r="H17" s="459" t="n"/>
      <c r="I17" s="459" t="n"/>
      <c r="J17" s="459" t="n"/>
      <c r="K17" s="459" t="n"/>
      <c r="L17" s="459" t="n"/>
      <c r="M17" s="459" t="n"/>
      <c r="N17" s="459" t="n"/>
      <c r="O17" s="459" t="n"/>
      <c r="P17" s="459" t="n"/>
      <c r="Q17" s="459" t="n"/>
      <c r="R17" s="459" t="n"/>
      <c r="S17" s="459" t="n"/>
      <c r="T17" s="459" t="n"/>
      <c r="U17" s="459" t="n"/>
      <c r="V17" s="459" t="n"/>
      <c r="W17" s="459" t="n"/>
      <c r="X17" s="459" t="n"/>
      <c r="Y17" s="459" t="n"/>
      <c r="Z17" s="459" t="n"/>
      <c r="AA17" s="459" t="n"/>
      <c r="AB17" s="459" t="n"/>
      <c r="AC17" s="459" t="n"/>
      <c r="AD17" s="459" t="n"/>
      <c r="AE17" s="459" t="n"/>
      <c r="AF17" s="459" t="n"/>
      <c r="AG17" s="459" t="n"/>
      <c r="AH17" s="459" t="n"/>
      <c r="AI17" s="459" t="n"/>
      <c r="AJ17" s="105">
        <f>SUM(E17:AI17)</f>
        <v/>
      </c>
      <c r="AK17" s="105">
        <f>AJ17*D17</f>
        <v/>
      </c>
    </row>
    <row r="18" ht="25" customFormat="1" customHeight="1" s="1">
      <c r="A18" s="473" t="inlineStr">
        <is>
          <t>การจัดทำรายงานการประชุม</t>
        </is>
      </c>
      <c r="B18" s="724" t="n"/>
      <c r="C18" s="22" t="n"/>
      <c r="D18" s="22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4" t="n"/>
      <c r="AK18" s="25" t="n"/>
    </row>
    <row r="19" ht="25" customFormat="1" customHeight="1" s="1">
      <c r="A19" s="26" t="inlineStr">
        <is>
          <t>1. การประชุมระดับ รพ.ฯ</t>
        </is>
      </c>
      <c r="B19" s="27" t="inlineStr">
        <is>
          <t>วัน</t>
        </is>
      </c>
      <c r="C19" s="28" t="inlineStr">
        <is>
          <t>เหมา</t>
        </is>
      </c>
      <c r="D19" s="27" t="n">
        <v>30</v>
      </c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  <c r="AA19" s="29" t="n"/>
      <c r="AB19" s="29" t="n"/>
      <c r="AC19" s="29" t="n"/>
      <c r="AD19" s="29" t="n"/>
      <c r="AE19" s="29" t="n"/>
      <c r="AF19" s="29" t="n"/>
      <c r="AG19" s="29" t="n"/>
      <c r="AH19" s="29" t="n"/>
      <c r="AI19" s="29" t="n"/>
      <c r="AJ19" s="5">
        <f>SUM(E19:AI19)</f>
        <v/>
      </c>
      <c r="AK19" s="5">
        <f>AJ19*D19</f>
        <v/>
      </c>
    </row>
    <row r="20" ht="25" customFormat="1" customHeight="1" s="1">
      <c r="A20" s="26" t="inlineStr">
        <is>
          <t>2. การประชุมระดับกลุ่มงาน/หน่วยงาน</t>
        </is>
      </c>
      <c r="B20" s="27" t="inlineStr">
        <is>
          <t>วัน</t>
        </is>
      </c>
      <c r="C20" s="28" t="inlineStr">
        <is>
          <t>เหมา</t>
        </is>
      </c>
      <c r="D20" s="27" t="n">
        <v>25</v>
      </c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5">
        <f>SUM(E20:AI20)</f>
        <v/>
      </c>
      <c r="AK20" s="5">
        <f>AJ20*D20</f>
        <v/>
      </c>
    </row>
    <row r="21" ht="25" customFormat="1" customHeight="1" s="1">
      <c r="A21" s="26" t="inlineStr">
        <is>
          <t>3. การประชุมย่อยในหน่วยงาน</t>
        </is>
      </c>
      <c r="B21" s="30" t="inlineStr">
        <is>
          <t>วัน</t>
        </is>
      </c>
      <c r="C21" s="31" t="inlineStr">
        <is>
          <t>เหมา</t>
        </is>
      </c>
      <c r="D21" s="30" t="n">
        <v>5</v>
      </c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2" t="n"/>
      <c r="AD21" s="32" t="n"/>
      <c r="AE21" s="32" t="n"/>
      <c r="AF21" s="32" t="n"/>
      <c r="AG21" s="32" t="n"/>
      <c r="AH21" s="32" t="n"/>
      <c r="AI21" s="32" t="n"/>
      <c r="AJ21" s="33">
        <f>SUM(E21:AI21)</f>
        <v/>
      </c>
      <c r="AK21" s="33">
        <f>AJ21*D21</f>
        <v/>
      </c>
    </row>
    <row r="22" ht="25" customHeight="1">
      <c r="A22" s="474" t="inlineStr">
        <is>
          <t>ราชการ</t>
        </is>
      </c>
      <c r="B22" s="724" t="n"/>
      <c r="C22" s="22" t="n"/>
      <c r="D22" s="22" t="n"/>
      <c r="E22" s="461" t="n"/>
      <c r="F22" s="461" t="n"/>
      <c r="G22" s="461" t="n"/>
      <c r="H22" s="461" t="n"/>
      <c r="I22" s="461" t="n"/>
      <c r="J22" s="461" t="n"/>
      <c r="K22" s="461" t="n"/>
      <c r="L22" s="461" t="n"/>
      <c r="M22" s="461" t="n"/>
      <c r="N22" s="461" t="n"/>
      <c r="O22" s="461" t="n"/>
      <c r="P22" s="461" t="n"/>
      <c r="Q22" s="461" t="n"/>
      <c r="R22" s="461" t="n"/>
      <c r="S22" s="461" t="n"/>
      <c r="T22" s="461" t="n"/>
      <c r="U22" s="461" t="n"/>
      <c r="V22" s="461" t="n"/>
      <c r="W22" s="461" t="n"/>
      <c r="X22" s="461" t="n"/>
      <c r="Y22" s="461" t="n"/>
      <c r="Z22" s="461" t="n"/>
      <c r="AA22" s="461" t="n"/>
      <c r="AB22" s="461" t="n"/>
      <c r="AC22" s="461" t="n"/>
      <c r="AD22" s="461" t="n"/>
      <c r="AE22" s="461" t="n"/>
      <c r="AF22" s="461" t="n"/>
      <c r="AG22" s="461" t="n"/>
      <c r="AH22" s="461" t="n"/>
      <c r="AI22" s="461" t="n"/>
      <c r="AJ22" s="304" t="n"/>
      <c r="AK22" s="305" t="n"/>
    </row>
    <row r="23" ht="50" customHeight="1">
      <c r="A23" s="35" t="inlineStr">
        <is>
          <t>ราชการต่าง ๆ เช่น รับเสด็จ รถพยาบาล  กีฬาสี 
งานเกื้อกูลสังคม (ร่วมพิธีสำคัญ)</t>
        </is>
      </c>
      <c r="B23" s="306" t="n"/>
      <c r="C23" s="307" t="n"/>
      <c r="D23" s="307" t="n"/>
      <c r="E23" s="461" t="n"/>
      <c r="F23" s="461" t="n"/>
      <c r="G23" s="461" t="n"/>
      <c r="H23" s="461" t="n"/>
      <c r="I23" s="461" t="n"/>
      <c r="J23" s="461" t="n"/>
      <c r="K23" s="461" t="n"/>
      <c r="L23" s="461" t="n"/>
      <c r="M23" s="461" t="n"/>
      <c r="N23" s="461" t="n"/>
      <c r="O23" s="461" t="n"/>
      <c r="P23" s="461" t="n"/>
      <c r="Q23" s="461" t="n"/>
      <c r="R23" s="461" t="n"/>
      <c r="S23" s="461" t="n"/>
      <c r="T23" s="461" t="n"/>
      <c r="U23" s="461" t="n"/>
      <c r="V23" s="461" t="n"/>
      <c r="W23" s="461" t="n"/>
      <c r="X23" s="461" t="n"/>
      <c r="Y23" s="461" t="n"/>
      <c r="Z23" s="461" t="n"/>
      <c r="AA23" s="461" t="n"/>
      <c r="AB23" s="461" t="n"/>
      <c r="AC23" s="461" t="n"/>
      <c r="AD23" s="461" t="n"/>
      <c r="AE23" s="461" t="n"/>
      <c r="AF23" s="461" t="n"/>
      <c r="AG23" s="461" t="n"/>
      <c r="AH23" s="461" t="n"/>
      <c r="AI23" s="461" t="n"/>
      <c r="AJ23" s="304" t="n"/>
      <c r="AK23" s="305" t="n"/>
    </row>
    <row r="24" ht="25" customHeight="1">
      <c r="A24" s="40" t="inlineStr">
        <is>
          <t>1. ภายใน รพ.</t>
        </is>
      </c>
      <c r="B24" s="41" t="n"/>
      <c r="C24" s="42" t="n"/>
      <c r="D24" s="43" t="n"/>
      <c r="E24" s="464" t="n"/>
      <c r="F24" s="464" t="n"/>
      <c r="G24" s="464" t="n"/>
      <c r="H24" s="464" t="n"/>
      <c r="I24" s="464" t="n"/>
      <c r="J24" s="464" t="n"/>
      <c r="K24" s="464" t="n"/>
      <c r="L24" s="464" t="n"/>
      <c r="M24" s="464" t="n"/>
      <c r="N24" s="464" t="n"/>
      <c r="O24" s="464" t="n"/>
      <c r="P24" s="464" t="n"/>
      <c r="Q24" s="464" t="n"/>
      <c r="R24" s="464" t="n"/>
      <c r="S24" s="464" t="n"/>
      <c r="T24" s="464" t="n"/>
      <c r="U24" s="464" t="n"/>
      <c r="V24" s="464" t="n"/>
      <c r="W24" s="464" t="n"/>
      <c r="X24" s="464" t="n"/>
      <c r="Y24" s="464" t="n"/>
      <c r="Z24" s="464" t="n"/>
      <c r="AA24" s="464" t="n"/>
      <c r="AB24" s="464" t="n"/>
      <c r="AC24" s="464" t="n"/>
      <c r="AD24" s="464" t="n"/>
      <c r="AE24" s="464" t="n"/>
      <c r="AF24" s="464" t="n"/>
      <c r="AG24" s="464" t="n"/>
      <c r="AH24" s="464" t="n"/>
      <c r="AI24" s="464" t="n"/>
      <c r="AJ24" s="45" t="n"/>
      <c r="AK24" s="46" t="n"/>
    </row>
    <row r="25" ht="25" customHeight="1">
      <c r="A25" s="475" t="inlineStr">
        <is>
          <t xml:space="preserve">   -  หัวหน้าผู้รับผิดชอบราชการ</t>
        </is>
      </c>
      <c r="B25" s="47" t="inlineStr">
        <is>
          <t>วัน</t>
        </is>
      </c>
      <c r="C25" s="48" t="inlineStr">
        <is>
          <t>เหมา</t>
        </is>
      </c>
      <c r="D25" s="47" t="n">
        <v>60</v>
      </c>
      <c r="E25" s="467" t="n"/>
      <c r="F25" s="467" t="n"/>
      <c r="G25" s="467" t="n"/>
      <c r="H25" s="467" t="n"/>
      <c r="I25" s="467" t="n"/>
      <c r="J25" s="467" t="n"/>
      <c r="K25" s="467" t="n"/>
      <c r="L25" s="467" t="n"/>
      <c r="M25" s="467" t="n"/>
      <c r="N25" s="467" t="n"/>
      <c r="O25" s="467" t="n"/>
      <c r="P25" s="467" t="n"/>
      <c r="Q25" s="467" t="n"/>
      <c r="R25" s="467" t="n"/>
      <c r="S25" s="467" t="n"/>
      <c r="T25" s="467" t="n"/>
      <c r="U25" s="467" t="n"/>
      <c r="V25" s="467" t="n"/>
      <c r="W25" s="467" t="n"/>
      <c r="X25" s="467" t="n"/>
      <c r="Y25" s="467" t="n"/>
      <c r="Z25" s="467" t="n"/>
      <c r="AA25" s="467" t="n"/>
      <c r="AB25" s="467" t="n"/>
      <c r="AC25" s="467" t="n"/>
      <c r="AD25" s="467" t="n"/>
      <c r="AE25" s="467" t="n"/>
      <c r="AF25" s="467" t="n"/>
      <c r="AG25" s="467" t="n"/>
      <c r="AH25" s="467" t="n"/>
      <c r="AI25" s="467" t="n"/>
      <c r="AJ25" s="50">
        <f>SUM(E25:AI25)</f>
        <v/>
      </c>
      <c r="AK25" s="50">
        <f>AJ25*D25</f>
        <v/>
      </c>
    </row>
    <row r="26" ht="25" customHeight="1">
      <c r="A26" s="475" t="inlineStr">
        <is>
          <t xml:space="preserve">   -  ผู้ดำเนินกิจกรรม, นักกีฬา</t>
        </is>
      </c>
      <c r="B26" s="27" t="inlineStr">
        <is>
          <t>วัน</t>
        </is>
      </c>
      <c r="C26" s="28" t="inlineStr">
        <is>
          <t>เหมา</t>
        </is>
      </c>
      <c r="D26" s="27" t="n">
        <v>60</v>
      </c>
      <c r="E26" s="468" t="n"/>
      <c r="F26" s="468" t="n"/>
      <c r="G26" s="468" t="n"/>
      <c r="H26" s="468" t="n"/>
      <c r="I26" s="468" t="n"/>
      <c r="J26" s="468" t="n"/>
      <c r="K26" s="468" t="n"/>
      <c r="L26" s="468" t="n"/>
      <c r="M26" s="468" t="n"/>
      <c r="N26" s="468" t="n"/>
      <c r="O26" s="468" t="n"/>
      <c r="P26" s="468" t="n"/>
      <c r="Q26" s="468" t="n"/>
      <c r="R26" s="468" t="n"/>
      <c r="S26" s="468" t="n"/>
      <c r="T26" s="468" t="n"/>
      <c r="U26" s="468" t="n"/>
      <c r="V26" s="468" t="n"/>
      <c r="W26" s="468" t="n"/>
      <c r="X26" s="468" t="n"/>
      <c r="Y26" s="468" t="n"/>
      <c r="Z26" s="468" t="n"/>
      <c r="AA26" s="468" t="n"/>
      <c r="AB26" s="468" t="n"/>
      <c r="AC26" s="468" t="n"/>
      <c r="AD26" s="468" t="n"/>
      <c r="AE26" s="468" t="n"/>
      <c r="AF26" s="468" t="n"/>
      <c r="AG26" s="468" t="n"/>
      <c r="AH26" s="468" t="n"/>
      <c r="AI26" s="468" t="n"/>
      <c r="AJ26" s="50">
        <f>SUM(E26:AI26)</f>
        <v/>
      </c>
      <c r="AK26" s="50">
        <f>AJ26*D26</f>
        <v/>
      </c>
    </row>
    <row r="27" ht="25" customHeight="1">
      <c r="A27" s="475" t="inlineStr">
        <is>
          <t xml:space="preserve">   -  ผู้ร่วมงาน</t>
        </is>
      </c>
      <c r="B27" s="30" t="inlineStr">
        <is>
          <t>วัน</t>
        </is>
      </c>
      <c r="C27" s="31" t="inlineStr">
        <is>
          <t>เหมา</t>
        </is>
      </c>
      <c r="D27" s="30" t="n">
        <v>30</v>
      </c>
      <c r="E27" s="459" t="n"/>
      <c r="F27" s="459" t="n"/>
      <c r="G27" s="459" t="n"/>
      <c r="H27" s="459" t="n"/>
      <c r="I27" s="459" t="n"/>
      <c r="J27" s="459" t="n"/>
      <c r="K27" s="459" t="n"/>
      <c r="L27" s="459" t="n"/>
      <c r="M27" s="459" t="n"/>
      <c r="N27" s="459" t="n"/>
      <c r="O27" s="459" t="n"/>
      <c r="P27" s="459" t="n"/>
      <c r="Q27" s="459" t="n"/>
      <c r="R27" s="459" t="n"/>
      <c r="S27" s="459" t="n"/>
      <c r="T27" s="459" t="n"/>
      <c r="U27" s="459" t="n"/>
      <c r="V27" s="459" t="n"/>
      <c r="W27" s="459" t="n"/>
      <c r="X27" s="459" t="n"/>
      <c r="Y27" s="459" t="n"/>
      <c r="Z27" s="459" t="n"/>
      <c r="AA27" s="459" t="n"/>
      <c r="AB27" s="459" t="n"/>
      <c r="AC27" s="459" t="n"/>
      <c r="AD27" s="459" t="n"/>
      <c r="AE27" s="459" t="n"/>
      <c r="AF27" s="459" t="n"/>
      <c r="AG27" s="459" t="n"/>
      <c r="AH27" s="459" t="n"/>
      <c r="AI27" s="459" t="n"/>
      <c r="AJ27" s="105">
        <f>SUM(E27:AI27)</f>
        <v/>
      </c>
      <c r="AK27" s="105">
        <f>AJ27*D27</f>
        <v/>
      </c>
    </row>
    <row r="28" ht="25" customHeight="1">
      <c r="A28" s="40" t="inlineStr">
        <is>
          <t>2. นอก รพ.</t>
        </is>
      </c>
      <c r="B28" s="51" t="n"/>
      <c r="C28" s="52" t="n"/>
      <c r="D28" s="52" t="n"/>
      <c r="E28" s="464" t="n"/>
      <c r="F28" s="464" t="n"/>
      <c r="G28" s="464" t="n"/>
      <c r="H28" s="464" t="n"/>
      <c r="I28" s="464" t="n"/>
      <c r="J28" s="464" t="n"/>
      <c r="K28" s="464" t="n"/>
      <c r="L28" s="464" t="n"/>
      <c r="M28" s="464" t="n"/>
      <c r="N28" s="464" t="n"/>
      <c r="O28" s="464" t="n"/>
      <c r="P28" s="464" t="n"/>
      <c r="Q28" s="464" t="n"/>
      <c r="R28" s="464" t="n"/>
      <c r="S28" s="464" t="n"/>
      <c r="T28" s="464" t="n"/>
      <c r="U28" s="464" t="n"/>
      <c r="V28" s="464" t="n"/>
      <c r="W28" s="464" t="n"/>
      <c r="X28" s="464" t="n"/>
      <c r="Y28" s="464" t="n"/>
      <c r="Z28" s="464" t="n"/>
      <c r="AA28" s="464" t="n"/>
      <c r="AB28" s="464" t="n"/>
      <c r="AC28" s="464" t="n"/>
      <c r="AD28" s="464" t="n"/>
      <c r="AE28" s="464" t="n"/>
      <c r="AF28" s="464" t="n"/>
      <c r="AG28" s="464" t="n"/>
      <c r="AH28" s="464" t="n"/>
      <c r="AI28" s="464" t="n"/>
      <c r="AJ28" s="45" t="n"/>
      <c r="AK28" s="46" t="n"/>
    </row>
    <row r="29" ht="25" customHeight="1">
      <c r="A29" s="475" t="inlineStr">
        <is>
          <t xml:space="preserve">   -  หัวหน้าผู้รับผิดชอบราชการ</t>
        </is>
      </c>
      <c r="B29" s="47" t="inlineStr">
        <is>
          <t>วัน</t>
        </is>
      </c>
      <c r="C29" s="48" t="inlineStr">
        <is>
          <t>เหมา</t>
        </is>
      </c>
      <c r="D29" s="47" t="n">
        <v>60</v>
      </c>
      <c r="E29" s="467" t="n"/>
      <c r="F29" s="467" t="n"/>
      <c r="G29" s="467" t="n"/>
      <c r="H29" s="467" t="n"/>
      <c r="I29" s="467" t="n"/>
      <c r="J29" s="467" t="n"/>
      <c r="K29" s="467" t="n"/>
      <c r="L29" s="467" t="n"/>
      <c r="M29" s="467" t="n"/>
      <c r="N29" s="467" t="n"/>
      <c r="O29" s="467" t="n"/>
      <c r="P29" s="467" t="n"/>
      <c r="Q29" s="467" t="n"/>
      <c r="R29" s="467" t="n"/>
      <c r="S29" s="467" t="n"/>
      <c r="T29" s="467" t="n"/>
      <c r="U29" s="467" t="n"/>
      <c r="V29" s="467" t="n"/>
      <c r="W29" s="467" t="n"/>
      <c r="X29" s="467" t="n"/>
      <c r="Y29" s="467" t="n"/>
      <c r="Z29" s="467" t="n"/>
      <c r="AA29" s="467" t="n"/>
      <c r="AB29" s="467" t="n"/>
      <c r="AC29" s="467" t="n"/>
      <c r="AD29" s="467" t="n"/>
      <c r="AE29" s="467" t="n"/>
      <c r="AF29" s="467" t="n"/>
      <c r="AG29" s="467" t="n"/>
      <c r="AH29" s="467" t="n"/>
      <c r="AI29" s="467" t="n"/>
      <c r="AJ29" s="50">
        <f>SUM(E29:AI29)</f>
        <v/>
      </c>
      <c r="AK29" s="50">
        <f>AJ29*D29</f>
        <v/>
      </c>
    </row>
    <row r="30" ht="25" customHeight="1">
      <c r="A30" s="475" t="inlineStr">
        <is>
          <t xml:space="preserve">   -  ผู้ดำเนินกิจกรรม, นักกีฬา</t>
        </is>
      </c>
      <c r="B30" s="27" t="inlineStr">
        <is>
          <t>วัน</t>
        </is>
      </c>
      <c r="C30" s="28" t="inlineStr">
        <is>
          <t>เหมา</t>
        </is>
      </c>
      <c r="D30" s="27" t="n">
        <v>60</v>
      </c>
      <c r="E30" s="468" t="n"/>
      <c r="F30" s="468" t="n"/>
      <c r="G30" s="468" t="n"/>
      <c r="H30" s="468" t="n"/>
      <c r="I30" s="468" t="n"/>
      <c r="J30" s="468" t="n"/>
      <c r="K30" s="468" t="n"/>
      <c r="L30" s="468" t="n"/>
      <c r="M30" s="468" t="n"/>
      <c r="N30" s="468" t="n"/>
      <c r="O30" s="468" t="n"/>
      <c r="P30" s="468" t="n"/>
      <c r="Q30" s="468" t="n"/>
      <c r="R30" s="468" t="n"/>
      <c r="S30" s="468" t="n"/>
      <c r="T30" s="468" t="n"/>
      <c r="U30" s="468" t="n"/>
      <c r="V30" s="468" t="n"/>
      <c r="W30" s="468" t="n"/>
      <c r="X30" s="468" t="n"/>
      <c r="Y30" s="468" t="n"/>
      <c r="Z30" s="468" t="n"/>
      <c r="AA30" s="468" t="n"/>
      <c r="AB30" s="468" t="n"/>
      <c r="AC30" s="468" t="n"/>
      <c r="AD30" s="468" t="n"/>
      <c r="AE30" s="468" t="n"/>
      <c r="AF30" s="468" t="n"/>
      <c r="AG30" s="468" t="n"/>
      <c r="AH30" s="468" t="n"/>
      <c r="AI30" s="468" t="n"/>
      <c r="AJ30" s="50">
        <f>SUM(E30:AI30)</f>
        <v/>
      </c>
      <c r="AK30" s="50">
        <f>AJ30*D30</f>
        <v/>
      </c>
    </row>
    <row r="31" ht="25" customHeight="1">
      <c r="A31" s="475" t="inlineStr">
        <is>
          <t xml:space="preserve">   -  ผู้ร่วมงาน</t>
        </is>
      </c>
      <c r="B31" s="30" t="inlineStr">
        <is>
          <t>วัน</t>
        </is>
      </c>
      <c r="C31" s="31" t="inlineStr">
        <is>
          <t>เหมา</t>
        </is>
      </c>
      <c r="D31" s="30" t="n">
        <v>30</v>
      </c>
      <c r="E31" s="459" t="n"/>
      <c r="F31" s="459" t="n"/>
      <c r="G31" s="459" t="n"/>
      <c r="H31" s="459" t="n"/>
      <c r="I31" s="459" t="n"/>
      <c r="J31" s="459" t="n"/>
      <c r="K31" s="459" t="n"/>
      <c r="L31" s="459" t="n"/>
      <c r="M31" s="459" t="n"/>
      <c r="N31" s="459" t="n"/>
      <c r="O31" s="459" t="n"/>
      <c r="P31" s="459" t="n"/>
      <c r="Q31" s="459" t="n"/>
      <c r="R31" s="459" t="n"/>
      <c r="S31" s="459" t="n"/>
      <c r="T31" s="459" t="n"/>
      <c r="U31" s="459" t="n"/>
      <c r="V31" s="459" t="n"/>
      <c r="W31" s="459" t="n"/>
      <c r="X31" s="459" t="n"/>
      <c r="Y31" s="459" t="n"/>
      <c r="Z31" s="459" t="n"/>
      <c r="AA31" s="459" t="n"/>
      <c r="AB31" s="459" t="n"/>
      <c r="AC31" s="459" t="n"/>
      <c r="AD31" s="459" t="n"/>
      <c r="AE31" s="459" t="n"/>
      <c r="AF31" s="459" t="n"/>
      <c r="AG31" s="459" t="n"/>
      <c r="AH31" s="459" t="n"/>
      <c r="AI31" s="459" t="n"/>
      <c r="AJ31" s="105">
        <f>SUM(E31:AI31)</f>
        <v/>
      </c>
      <c r="AK31" s="105">
        <f>AJ31*D31</f>
        <v/>
      </c>
    </row>
    <row r="32" ht="25" customFormat="1" customHeight="1" s="1">
      <c r="A32" s="40" t="inlineStr">
        <is>
          <t>3. ภารกิจสำคัญของ รพ./ตอบสนองนโยบาย ทร.</t>
        </is>
      </c>
      <c r="B32" s="51" t="n"/>
      <c r="C32" s="52" t="n"/>
      <c r="D32" s="52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45" t="n"/>
      <c r="AK32" s="46" t="n"/>
    </row>
    <row r="33" ht="25" customFormat="1" customHeight="1" s="1">
      <c r="A33" s="26" t="inlineStr">
        <is>
          <t xml:space="preserve">   -  เข้าร่วมการฝึกซ้อมอัคคีภัย, อุบัติภัยหมู่ ฯลฯ ระดับ รพ.</t>
        </is>
      </c>
      <c r="B33" s="30" t="inlineStr">
        <is>
          <t>วัน</t>
        </is>
      </c>
      <c r="C33" s="31" t="inlineStr">
        <is>
          <t>เหมา</t>
        </is>
      </c>
      <c r="D33" s="30" t="n">
        <v>60</v>
      </c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5">
        <f>SUM(E33:AI33)</f>
        <v/>
      </c>
      <c r="AK33" s="5">
        <f>AJ33*D33</f>
        <v/>
      </c>
    </row>
    <row r="34" ht="21" customFormat="1" customHeight="1" s="1">
      <c r="A34" s="26" t="inlineStr">
        <is>
          <t xml:space="preserve">   -  เข้าร่วมการฝึกซ้อมอัคคีภัย, อุบัติภัยหมู่ ฯลฯ ระดับหน่วยงาน</t>
        </is>
      </c>
      <c r="B34" s="27" t="inlineStr">
        <is>
          <t>วัน</t>
        </is>
      </c>
      <c r="C34" s="28" t="inlineStr">
        <is>
          <t>เหมา</t>
        </is>
      </c>
      <c r="D34" s="27" t="n">
        <v>30</v>
      </c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33">
        <f>SUM(E34:AI34)</f>
        <v/>
      </c>
      <c r="AK34" s="33">
        <f>AJ34*D34</f>
        <v/>
      </c>
    </row>
    <row r="35" ht="25" customFormat="1" customHeight="1" s="1">
      <c r="A35" s="26" t="inlineStr">
        <is>
          <t xml:space="preserve">   -  เข้าร่วมการทดสอบสมรรถภาพทางกายกำลังพล</t>
        </is>
      </c>
      <c r="B35" s="27" t="inlineStr">
        <is>
          <t>วัน</t>
        </is>
      </c>
      <c r="C35" s="28" t="inlineStr">
        <is>
          <t>เหมา</t>
        </is>
      </c>
      <c r="D35" s="27" t="n">
        <v>30</v>
      </c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33">
        <f>SUM(E35:AI35)</f>
        <v/>
      </c>
      <c r="AK35" s="33">
        <f>AJ35*D35</f>
        <v/>
      </c>
    </row>
    <row r="36" ht="25" customFormat="1" customHeight="1" s="1">
      <c r="A36" s="26" t="inlineStr">
        <is>
          <t xml:space="preserve">   -  คณะกรรมการการทดสอบสมรรถภาพทางกายกำลังพล</t>
        </is>
      </c>
      <c r="B36" s="27" t="inlineStr">
        <is>
          <t>วัน</t>
        </is>
      </c>
      <c r="C36" s="28" t="inlineStr">
        <is>
          <t>เหมา</t>
        </is>
      </c>
      <c r="D36" s="27" t="n">
        <v>60</v>
      </c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33">
        <f>SUM(E36:AI36)</f>
        <v/>
      </c>
      <c r="AK36" s="33">
        <f>AJ36*D36</f>
        <v/>
      </c>
    </row>
    <row r="37" ht="25" customHeight="1">
      <c r="A37" s="474" t="inlineStr">
        <is>
          <t>งานสถิติ/นิเทศในหน่วยงาน</t>
        </is>
      </c>
      <c r="B37" s="41" t="n"/>
      <c r="C37" s="42" t="n"/>
      <c r="D37" s="43" t="n"/>
      <c r="E37" s="464" t="n"/>
      <c r="F37" s="464" t="n"/>
      <c r="G37" s="464" t="n"/>
      <c r="H37" s="464" t="n"/>
      <c r="I37" s="464" t="n"/>
      <c r="J37" s="464" t="n"/>
      <c r="K37" s="464" t="n"/>
      <c r="L37" s="464" t="n"/>
      <c r="M37" s="464" t="n"/>
      <c r="N37" s="464" t="n"/>
      <c r="O37" s="464" t="n"/>
      <c r="P37" s="464" t="n"/>
      <c r="Q37" s="464" t="n"/>
      <c r="R37" s="464" t="n"/>
      <c r="S37" s="464" t="n"/>
      <c r="T37" s="464" t="n"/>
      <c r="U37" s="464" t="n"/>
      <c r="V37" s="464" t="n"/>
      <c r="W37" s="464" t="n"/>
      <c r="X37" s="464" t="n"/>
      <c r="Y37" s="464" t="n"/>
      <c r="Z37" s="464" t="n"/>
      <c r="AA37" s="464" t="n"/>
      <c r="AB37" s="464" t="n"/>
      <c r="AC37" s="464" t="n"/>
      <c r="AD37" s="464" t="n"/>
      <c r="AE37" s="464" t="n"/>
      <c r="AF37" s="464" t="n"/>
      <c r="AG37" s="464" t="n"/>
      <c r="AH37" s="464" t="n"/>
      <c r="AI37" s="464" t="n"/>
      <c r="AJ37" s="45" t="n"/>
      <c r="AK37" s="46" t="n"/>
    </row>
    <row r="38" ht="25" customHeight="1">
      <c r="A38" s="476" t="inlineStr">
        <is>
          <t>1. รวบรวมรายงานสถิติรายวัน</t>
        </is>
      </c>
      <c r="B38" s="57" t="inlineStr">
        <is>
          <t>วัน</t>
        </is>
      </c>
      <c r="C38" s="48" t="inlineStr">
        <is>
          <t>เหมา</t>
        </is>
      </c>
      <c r="D38" s="47" t="n">
        <v>2.13</v>
      </c>
      <c r="E38" s="467" t="n"/>
      <c r="F38" s="467" t="n"/>
      <c r="G38" s="467" t="n"/>
      <c r="H38" s="467" t="n"/>
      <c r="I38" s="467" t="n"/>
      <c r="J38" s="467" t="n"/>
      <c r="K38" s="467" t="n"/>
      <c r="L38" s="467" t="n"/>
      <c r="M38" s="467" t="n"/>
      <c r="N38" s="467" t="n"/>
      <c r="O38" s="467" t="n"/>
      <c r="P38" s="467" t="n"/>
      <c r="Q38" s="467" t="n"/>
      <c r="R38" s="467" t="n"/>
      <c r="S38" s="467" t="n"/>
      <c r="T38" s="467" t="n"/>
      <c r="U38" s="467" t="n"/>
      <c r="V38" s="467" t="n"/>
      <c r="W38" s="467" t="n"/>
      <c r="X38" s="467" t="n"/>
      <c r="Y38" s="467" t="n"/>
      <c r="Z38" s="467" t="n"/>
      <c r="AA38" s="467" t="n"/>
      <c r="AB38" s="467" t="n"/>
      <c r="AC38" s="467" t="n"/>
      <c r="AD38" s="467" t="n"/>
      <c r="AE38" s="467" t="n"/>
      <c r="AF38" s="467" t="n"/>
      <c r="AG38" s="467" t="n"/>
      <c r="AH38" s="467" t="n"/>
      <c r="AI38" s="467" t="n"/>
      <c r="AJ38" s="50">
        <f>SUM(E38:AI38)</f>
        <v/>
      </c>
      <c r="AK38" s="50">
        <f>AJ38*D38</f>
        <v/>
      </c>
    </row>
    <row r="39" ht="25" customHeight="1">
      <c r="A39" s="476" t="inlineStr">
        <is>
          <t xml:space="preserve">2. รวบรวมรายงานสถิติรายเดือน </t>
        </is>
      </c>
      <c r="B39" s="58" t="inlineStr">
        <is>
          <t>รายการ</t>
        </is>
      </c>
      <c r="C39" s="28" t="inlineStr">
        <is>
          <t>เหมา</t>
        </is>
      </c>
      <c r="D39" s="58" t="n">
        <v>4.26</v>
      </c>
      <c r="E39" s="468" t="n"/>
      <c r="F39" s="468" t="n"/>
      <c r="G39" s="468" t="n"/>
      <c r="H39" s="468" t="n"/>
      <c r="I39" s="468" t="n"/>
      <c r="J39" s="468" t="n"/>
      <c r="K39" s="468" t="n"/>
      <c r="L39" s="468" t="n"/>
      <c r="M39" s="468" t="n"/>
      <c r="N39" s="468" t="n"/>
      <c r="O39" s="468" t="n"/>
      <c r="P39" s="468" t="n"/>
      <c r="Q39" s="468" t="n"/>
      <c r="R39" s="468" t="n"/>
      <c r="S39" s="468" t="n"/>
      <c r="T39" s="468" t="n"/>
      <c r="U39" s="468" t="n"/>
      <c r="V39" s="468" t="n"/>
      <c r="W39" s="468" t="n"/>
      <c r="X39" s="468" t="n"/>
      <c r="Y39" s="468" t="n"/>
      <c r="Z39" s="468" t="n"/>
      <c r="AA39" s="468" t="n"/>
      <c r="AB39" s="468" t="n"/>
      <c r="AC39" s="468" t="n"/>
      <c r="AD39" s="468" t="n"/>
      <c r="AE39" s="468" t="n"/>
      <c r="AF39" s="468" t="n"/>
      <c r="AG39" s="468" t="n"/>
      <c r="AH39" s="468" t="n"/>
      <c r="AI39" s="468" t="n"/>
      <c r="AJ39" s="50">
        <f>SUM(E39:AI39)</f>
        <v/>
      </c>
      <c r="AK39" s="50">
        <f>AJ39*D39</f>
        <v/>
      </c>
    </row>
    <row r="40" ht="25" customHeight="1">
      <c r="A40" s="476" t="inlineStr">
        <is>
          <t>3. รวบรวมข้อมูลสถิติความพึงพอใจ (2 ครั้ง/ปี)</t>
        </is>
      </c>
      <c r="B40" s="58" t="inlineStr">
        <is>
          <t>ครั้ง</t>
        </is>
      </c>
      <c r="C40" s="28" t="inlineStr">
        <is>
          <t>เหมา</t>
        </is>
      </c>
      <c r="D40" s="58" t="n">
        <v>4.26</v>
      </c>
      <c r="E40" s="468" t="n"/>
      <c r="F40" s="468" t="n"/>
      <c r="G40" s="468" t="n"/>
      <c r="H40" s="468" t="n"/>
      <c r="I40" s="468" t="n"/>
      <c r="J40" s="468" t="n"/>
      <c r="K40" s="468" t="n"/>
      <c r="L40" s="468" t="n"/>
      <c r="M40" s="468" t="n"/>
      <c r="N40" s="468" t="n"/>
      <c r="O40" s="468" t="n"/>
      <c r="P40" s="468" t="n"/>
      <c r="Q40" s="468" t="n"/>
      <c r="R40" s="468" t="n"/>
      <c r="S40" s="468" t="n"/>
      <c r="T40" s="468" t="n"/>
      <c r="U40" s="468" t="n"/>
      <c r="V40" s="468" t="n"/>
      <c r="W40" s="468" t="n"/>
      <c r="X40" s="468" t="n"/>
      <c r="Y40" s="468" t="n"/>
      <c r="Z40" s="468" t="n"/>
      <c r="AA40" s="468" t="n"/>
      <c r="AB40" s="468" t="n"/>
      <c r="AC40" s="468" t="n"/>
      <c r="AD40" s="468" t="n"/>
      <c r="AE40" s="468" t="n"/>
      <c r="AF40" s="468" t="n"/>
      <c r="AG40" s="468" t="n"/>
      <c r="AH40" s="468" t="n"/>
      <c r="AI40" s="468" t="n"/>
      <c r="AJ40" s="50">
        <f>SUM(E40:AI40)</f>
        <v/>
      </c>
      <c r="AK40" s="50">
        <f>AJ40*D40</f>
        <v/>
      </c>
    </row>
    <row r="41">
      <c r="A41" s="133" t="inlineStr">
        <is>
          <t>4. แนะนำผู้รับบริการทำแบบประเมินความพึงพอใจรายวัน</t>
        </is>
      </c>
      <c r="B41" s="60" t="inlineStr">
        <is>
          <t>ครั้ง</t>
        </is>
      </c>
      <c r="C41" s="61" t="n">
        <v>2</v>
      </c>
      <c r="D41" s="62">
        <f>C41*0.071</f>
        <v/>
      </c>
      <c r="E41" s="477" t="n"/>
      <c r="F41" s="459" t="n"/>
      <c r="G41" s="459" t="n"/>
      <c r="H41" s="459" t="n"/>
      <c r="I41" s="459" t="n"/>
      <c r="J41" s="459" t="n"/>
      <c r="K41" s="459" t="n"/>
      <c r="L41" s="459" t="n"/>
      <c r="M41" s="459" t="n"/>
      <c r="N41" s="459" t="n"/>
      <c r="O41" s="459" t="n"/>
      <c r="P41" s="459" t="n"/>
      <c r="Q41" s="459" t="n"/>
      <c r="R41" s="459" t="n"/>
      <c r="S41" s="459" t="n"/>
      <c r="T41" s="459" t="n"/>
      <c r="U41" s="459" t="n"/>
      <c r="V41" s="459" t="n"/>
      <c r="W41" s="459" t="n"/>
      <c r="X41" s="459" t="n"/>
      <c r="Y41" s="459" t="n"/>
      <c r="Z41" s="459" t="n"/>
      <c r="AA41" s="459" t="n"/>
      <c r="AB41" s="459" t="n"/>
      <c r="AC41" s="459" t="n"/>
      <c r="AD41" s="459" t="n"/>
      <c r="AE41" s="459" t="n"/>
      <c r="AF41" s="459" t="n"/>
      <c r="AG41" s="459" t="n"/>
      <c r="AH41" s="459" t="n"/>
      <c r="AI41" s="459" t="n"/>
      <c r="AJ41" s="105">
        <f>SUM(E41:AI41)</f>
        <v/>
      </c>
      <c r="AK41" s="105">
        <f>AJ41*D41</f>
        <v/>
      </c>
    </row>
    <row r="42" ht="25" customHeight="1">
      <c r="A42" s="474" t="inlineStr">
        <is>
          <t>การจัดเวร/เบิกค่าตอบแทน</t>
        </is>
      </c>
      <c r="B42" s="312" t="n"/>
      <c r="C42" s="313" t="n"/>
      <c r="D42" s="95" t="n"/>
      <c r="E42" s="464" t="n"/>
      <c r="F42" s="464" t="n"/>
      <c r="G42" s="464" t="n"/>
      <c r="H42" s="464" t="n"/>
      <c r="I42" s="464" t="n"/>
      <c r="J42" s="464" t="n"/>
      <c r="K42" s="464" t="n"/>
      <c r="L42" s="464" t="n"/>
      <c r="M42" s="464" t="n"/>
      <c r="N42" s="464" t="n"/>
      <c r="O42" s="464" t="n"/>
      <c r="P42" s="464" t="n"/>
      <c r="Q42" s="464" t="n"/>
      <c r="R42" s="464" t="n"/>
      <c r="S42" s="464" t="n"/>
      <c r="T42" s="464" t="n"/>
      <c r="U42" s="464" t="n"/>
      <c r="V42" s="464" t="n"/>
      <c r="W42" s="464" t="n"/>
      <c r="X42" s="464" t="n"/>
      <c r="Y42" s="464" t="n"/>
      <c r="Z42" s="464" t="n"/>
      <c r="AA42" s="464" t="n"/>
      <c r="AB42" s="464" t="n"/>
      <c r="AC42" s="464" t="n"/>
      <c r="AD42" s="464" t="n"/>
      <c r="AE42" s="464" t="n"/>
      <c r="AF42" s="464" t="n"/>
      <c r="AG42" s="464" t="n"/>
      <c r="AH42" s="464" t="n"/>
      <c r="AI42" s="464" t="n"/>
      <c r="AJ42" s="45" t="n"/>
      <c r="AK42" s="46" t="n"/>
    </row>
    <row r="43" ht="25" customHeight="1">
      <c r="A43" s="478" t="inlineStr">
        <is>
          <t>1. จัดตารางเวร (1ครั้ง/เดือน)</t>
        </is>
      </c>
      <c r="B43" s="49" t="inlineStr">
        <is>
          <t xml:space="preserve">เดือน </t>
        </is>
      </c>
      <c r="C43" s="48" t="inlineStr">
        <is>
          <t>เหมา</t>
        </is>
      </c>
      <c r="D43" s="479" t="n">
        <v>15</v>
      </c>
      <c r="E43" s="467" t="n"/>
      <c r="F43" s="467" t="n"/>
      <c r="G43" s="467" t="n"/>
      <c r="H43" s="467" t="n"/>
      <c r="I43" s="467" t="n"/>
      <c r="J43" s="467" t="n"/>
      <c r="K43" s="467" t="n"/>
      <c r="L43" s="467" t="n"/>
      <c r="M43" s="467" t="n"/>
      <c r="N43" s="467" t="n"/>
      <c r="O43" s="467" t="n"/>
      <c r="P43" s="467" t="n"/>
      <c r="Q43" s="467" t="n"/>
      <c r="R43" s="467" t="n"/>
      <c r="S43" s="467" t="n"/>
      <c r="T43" s="467" t="n"/>
      <c r="U43" s="467" t="n"/>
      <c r="V43" s="467" t="n"/>
      <c r="W43" s="467" t="n"/>
      <c r="X43" s="467" t="n"/>
      <c r="Y43" s="467" t="n"/>
      <c r="Z43" s="467" t="n"/>
      <c r="AA43" s="467" t="n"/>
      <c r="AB43" s="467" t="n"/>
      <c r="AC43" s="467" t="n"/>
      <c r="AD43" s="467" t="n"/>
      <c r="AE43" s="467" t="n"/>
      <c r="AF43" s="467" t="n"/>
      <c r="AG43" s="467" t="n"/>
      <c r="AH43" s="467" t="n"/>
      <c r="AI43" s="467" t="n"/>
      <c r="AJ43" s="50">
        <f>SUM(E43:AI43)</f>
        <v/>
      </c>
      <c r="AK43" s="50">
        <f>AJ43*D43</f>
        <v/>
      </c>
    </row>
    <row r="44" ht="42" customHeight="1">
      <c r="A44" s="480" t="inlineStr">
        <is>
          <t>2. การเบิกค่าตอบแทนเวรนอกเวลา (แพทย์/ทันตแพทย์, พยาบาล, เจ้าหน้าที่อื่น ลงคะแนน 1ครั้ง/เดือน)</t>
        </is>
      </c>
      <c r="B44" s="29" t="inlineStr">
        <is>
          <t xml:space="preserve">เดือน </t>
        </is>
      </c>
      <c r="C44" s="28" t="inlineStr">
        <is>
          <t>เหมา</t>
        </is>
      </c>
      <c r="D44" s="481" t="n">
        <v>30</v>
      </c>
      <c r="E44" s="468" t="n"/>
      <c r="F44" s="468" t="n"/>
      <c r="G44" s="468" t="n"/>
      <c r="H44" s="468" t="n"/>
      <c r="I44" s="468" t="n"/>
      <c r="J44" s="468" t="n"/>
      <c r="K44" s="468" t="n"/>
      <c r="L44" s="468" t="n"/>
      <c r="M44" s="468" t="n"/>
      <c r="N44" s="468" t="n"/>
      <c r="O44" s="468" t="n"/>
      <c r="P44" s="468" t="n"/>
      <c r="Q44" s="468" t="n"/>
      <c r="R44" s="468" t="n"/>
      <c r="S44" s="468" t="n"/>
      <c r="T44" s="468" t="n"/>
      <c r="U44" s="468" t="n"/>
      <c r="V44" s="468" t="n"/>
      <c r="W44" s="468" t="n"/>
      <c r="X44" s="468" t="n"/>
      <c r="Y44" s="468" t="n"/>
      <c r="Z44" s="468" t="n"/>
      <c r="AA44" s="468" t="n"/>
      <c r="AB44" s="468" t="n"/>
      <c r="AC44" s="468" t="n"/>
      <c r="AD44" s="468" t="n"/>
      <c r="AE44" s="468" t="n"/>
      <c r="AF44" s="468" t="n"/>
      <c r="AG44" s="468" t="n"/>
      <c r="AH44" s="468" t="n"/>
      <c r="AI44" s="468" t="n"/>
      <c r="AJ44" s="50">
        <f>SUM(E44:AI44)</f>
        <v/>
      </c>
      <c r="AK44" s="50">
        <f>AJ44*D44</f>
        <v/>
      </c>
    </row>
    <row r="45" ht="25" customHeight="1">
      <c r="A45" s="478" t="inlineStr">
        <is>
          <t>3. การเบิกค่าตอบแทน P4P (1ครั้ง/เดือน)</t>
        </is>
      </c>
      <c r="B45" s="29" t="inlineStr">
        <is>
          <t xml:space="preserve">เดือน </t>
        </is>
      </c>
      <c r="C45" s="28" t="inlineStr">
        <is>
          <t>เหมา</t>
        </is>
      </c>
      <c r="D45" s="481" t="n">
        <v>30</v>
      </c>
      <c r="E45" s="468" t="n"/>
      <c r="F45" s="468" t="n"/>
      <c r="G45" s="468" t="n"/>
      <c r="H45" s="468" t="n"/>
      <c r="I45" s="468" t="n"/>
      <c r="J45" s="468" t="n"/>
      <c r="K45" s="468" t="n"/>
      <c r="L45" s="468" t="n"/>
      <c r="M45" s="468" t="n"/>
      <c r="N45" s="468" t="n"/>
      <c r="O45" s="468" t="n"/>
      <c r="P45" s="468" t="n"/>
      <c r="Q45" s="468" t="n"/>
      <c r="R45" s="468" t="n"/>
      <c r="S45" s="468" t="n"/>
      <c r="T45" s="468" t="n"/>
      <c r="U45" s="468" t="n"/>
      <c r="V45" s="468" t="n"/>
      <c r="W45" s="468" t="n"/>
      <c r="X45" s="468" t="n"/>
      <c r="Y45" s="468" t="n"/>
      <c r="Z45" s="468" t="n"/>
      <c r="AA45" s="468" t="n"/>
      <c r="AB45" s="468" t="n"/>
      <c r="AC45" s="468" t="n"/>
      <c r="AD45" s="468" t="n"/>
      <c r="AE45" s="468" t="n"/>
      <c r="AF45" s="468" t="n"/>
      <c r="AG45" s="468" t="n"/>
      <c r="AH45" s="468" t="n"/>
      <c r="AI45" s="468" t="n"/>
      <c r="AJ45" s="50">
        <f>SUM(E45:AI45)</f>
        <v/>
      </c>
      <c r="AK45" s="50">
        <f>AJ45*D45</f>
        <v/>
      </c>
    </row>
    <row r="46" ht="25" customHeight="1">
      <c r="A46" s="482" t="inlineStr">
        <is>
          <t>4. ตรวจสอบข้อมูลการสแกนเข้าออกของเจ้าหน้าที่ประจำเดือน</t>
        </is>
      </c>
      <c r="B46" s="32" t="inlineStr">
        <is>
          <t xml:space="preserve">เดือน </t>
        </is>
      </c>
      <c r="C46" s="31" t="inlineStr">
        <is>
          <t>เหมา</t>
        </is>
      </c>
      <c r="D46" s="471" t="n">
        <v>4.26</v>
      </c>
      <c r="E46" s="459" t="n"/>
      <c r="F46" s="459" t="n"/>
      <c r="G46" s="459" t="n"/>
      <c r="H46" s="459" t="n"/>
      <c r="I46" s="459" t="n"/>
      <c r="J46" s="459" t="n"/>
      <c r="K46" s="459" t="n"/>
      <c r="L46" s="459" t="n"/>
      <c r="M46" s="459" t="n"/>
      <c r="N46" s="459" t="n"/>
      <c r="O46" s="459" t="n"/>
      <c r="P46" s="459" t="n"/>
      <c r="Q46" s="459" t="n"/>
      <c r="R46" s="459" t="n"/>
      <c r="S46" s="459" t="n"/>
      <c r="T46" s="459" t="n"/>
      <c r="U46" s="459" t="n"/>
      <c r="V46" s="459" t="n"/>
      <c r="W46" s="459" t="n"/>
      <c r="X46" s="459" t="n"/>
      <c r="Y46" s="459" t="n"/>
      <c r="Z46" s="459" t="n"/>
      <c r="AA46" s="459" t="n"/>
      <c r="AB46" s="459" t="n"/>
      <c r="AC46" s="459" t="n"/>
      <c r="AD46" s="459" t="n"/>
      <c r="AE46" s="459" t="n"/>
      <c r="AF46" s="459" t="n"/>
      <c r="AG46" s="459" t="n"/>
      <c r="AH46" s="459" t="n"/>
      <c r="AI46" s="459" t="n"/>
      <c r="AJ46" s="105">
        <f>SUM(E46:AI46)</f>
        <v/>
      </c>
      <c r="AK46" s="105">
        <f>AJ46*D46</f>
        <v/>
      </c>
    </row>
    <row r="47">
      <c r="A47" s="463" t="inlineStr">
        <is>
          <t>งานครุภัณฑ์ / เวชภัณฑ์ / ยา</t>
        </is>
      </c>
      <c r="B47" s="56" t="n"/>
      <c r="C47" s="53" t="n"/>
      <c r="D47" s="53" t="n"/>
      <c r="E47" s="464" t="n"/>
      <c r="F47" s="464" t="n"/>
      <c r="G47" s="464" t="n"/>
      <c r="H47" s="464" t="n"/>
      <c r="I47" s="464" t="n"/>
      <c r="J47" s="464" t="n"/>
      <c r="K47" s="464" t="n"/>
      <c r="L47" s="464" t="n"/>
      <c r="M47" s="464" t="n"/>
      <c r="N47" s="464" t="n"/>
      <c r="O47" s="464" t="n"/>
      <c r="P47" s="464" t="n"/>
      <c r="Q47" s="464" t="n"/>
      <c r="R47" s="464" t="n"/>
      <c r="S47" s="464" t="n"/>
      <c r="T47" s="464" t="n"/>
      <c r="U47" s="464" t="n"/>
      <c r="V47" s="464" t="n"/>
      <c r="W47" s="464" t="n"/>
      <c r="X47" s="464" t="n"/>
      <c r="Y47" s="464" t="n"/>
      <c r="Z47" s="464" t="n"/>
      <c r="AA47" s="464" t="n"/>
      <c r="AB47" s="464" t="n"/>
      <c r="AC47" s="464" t="n"/>
      <c r="AD47" s="464" t="n"/>
      <c r="AE47" s="464" t="n"/>
      <c r="AF47" s="464" t="n"/>
      <c r="AG47" s="464" t="n"/>
      <c r="AH47" s="464" t="n"/>
      <c r="AI47" s="464" t="n"/>
      <c r="AJ47" s="45" t="n"/>
      <c r="AK47" s="46" t="n"/>
    </row>
    <row r="48">
      <c r="A48" s="64" t="inlineStr">
        <is>
          <t>1. ขึ้นทะเบียนครุภัณฑ์</t>
        </is>
      </c>
      <c r="B48" s="54" t="inlineStr">
        <is>
          <t>รายการ</t>
        </is>
      </c>
      <c r="C48" s="71" t="n">
        <v>30</v>
      </c>
      <c r="D48" s="54" t="n">
        <v>4.29</v>
      </c>
      <c r="E48" s="467" t="n"/>
      <c r="F48" s="467" t="n"/>
      <c r="G48" s="467" t="n"/>
      <c r="H48" s="467" t="n"/>
      <c r="I48" s="467" t="n"/>
      <c r="J48" s="467" t="n"/>
      <c r="K48" s="467" t="n"/>
      <c r="L48" s="467" t="n"/>
      <c r="M48" s="467" t="n"/>
      <c r="N48" s="467" t="n"/>
      <c r="O48" s="467" t="n"/>
      <c r="P48" s="467" t="n"/>
      <c r="Q48" s="467" t="n"/>
      <c r="R48" s="467" t="n"/>
      <c r="S48" s="467" t="n"/>
      <c r="T48" s="467" t="n"/>
      <c r="U48" s="467" t="n"/>
      <c r="V48" s="467" t="n"/>
      <c r="W48" s="467" t="n"/>
      <c r="X48" s="467" t="n"/>
      <c r="Y48" s="467" t="n"/>
      <c r="Z48" s="467" t="n"/>
      <c r="AA48" s="467" t="n"/>
      <c r="AB48" s="467" t="n"/>
      <c r="AC48" s="467" t="n"/>
      <c r="AD48" s="467" t="n"/>
      <c r="AE48" s="467" t="n"/>
      <c r="AF48" s="467" t="n"/>
      <c r="AG48" s="467" t="n"/>
      <c r="AH48" s="467" t="n"/>
      <c r="AI48" s="467" t="n"/>
      <c r="AJ48" s="50">
        <f>SUM(E48:AI48)</f>
        <v/>
      </c>
      <c r="AK48" s="50">
        <f>AJ48*D48</f>
        <v/>
      </c>
    </row>
    <row r="49" ht="25" customHeight="1">
      <c r="A49" s="482" t="inlineStr">
        <is>
          <t>2. แทงจำหน่าย/ย้าย/โอนครุภัณฑ์</t>
        </is>
      </c>
      <c r="B49" s="14" t="inlineStr">
        <is>
          <t>รายการ</t>
        </is>
      </c>
      <c r="C49" s="73" t="n">
        <v>60</v>
      </c>
      <c r="D49" s="86" t="n">
        <v>8.58</v>
      </c>
      <c r="E49" s="468" t="n"/>
      <c r="F49" s="468" t="n"/>
      <c r="G49" s="468" t="n"/>
      <c r="H49" s="468" t="n"/>
      <c r="I49" s="468" t="n"/>
      <c r="J49" s="468" t="n"/>
      <c r="K49" s="468" t="n"/>
      <c r="L49" s="468" t="n"/>
      <c r="M49" s="468" t="n"/>
      <c r="N49" s="468" t="n"/>
      <c r="O49" s="468" t="n"/>
      <c r="P49" s="468" t="n"/>
      <c r="Q49" s="468" t="n"/>
      <c r="R49" s="468" t="n"/>
      <c r="S49" s="468" t="n"/>
      <c r="T49" s="468" t="n"/>
      <c r="U49" s="468" t="n"/>
      <c r="V49" s="468" t="n"/>
      <c r="W49" s="468" t="n"/>
      <c r="X49" s="468" t="n"/>
      <c r="Y49" s="468" t="n"/>
      <c r="Z49" s="468" t="n"/>
      <c r="AA49" s="468" t="n"/>
      <c r="AB49" s="468" t="n"/>
      <c r="AC49" s="468" t="n"/>
      <c r="AD49" s="468" t="n"/>
      <c r="AE49" s="468" t="n"/>
      <c r="AF49" s="468" t="n"/>
      <c r="AG49" s="468" t="n"/>
      <c r="AH49" s="468" t="n"/>
      <c r="AI49" s="468" t="n"/>
      <c r="AJ49" s="50">
        <f>SUM(E49:AI49)</f>
        <v/>
      </c>
      <c r="AK49" s="50">
        <f>AJ49*D49</f>
        <v/>
      </c>
    </row>
    <row r="50" ht="50" customHeight="1">
      <c r="A50" s="482" t="inlineStr">
        <is>
          <t xml:space="preserve">3. รายงาน/ตรวจสอบครุภัณฑ์ /เวชภัณฑ์ / ยา 
ประจำปี </t>
        </is>
      </c>
      <c r="B50" s="61" t="inlineStr">
        <is>
          <t>ปี</t>
        </is>
      </c>
      <c r="C50" s="60" t="inlineStr">
        <is>
          <t>เหมา</t>
        </is>
      </c>
      <c r="D50" s="60" t="n">
        <v>30.03</v>
      </c>
      <c r="E50" s="459" t="n"/>
      <c r="F50" s="459" t="n"/>
      <c r="G50" s="459" t="n"/>
      <c r="H50" s="459" t="n"/>
      <c r="I50" s="459" t="n"/>
      <c r="J50" s="459" t="n"/>
      <c r="K50" s="459" t="n"/>
      <c r="L50" s="459" t="n"/>
      <c r="M50" s="459" t="n"/>
      <c r="N50" s="459" t="n"/>
      <c r="O50" s="459" t="n"/>
      <c r="P50" s="459" t="n"/>
      <c r="Q50" s="459" t="n"/>
      <c r="R50" s="459" t="n"/>
      <c r="S50" s="459" t="n"/>
      <c r="T50" s="459" t="n"/>
      <c r="U50" s="459" t="n"/>
      <c r="V50" s="459" t="n"/>
      <c r="W50" s="459" t="n"/>
      <c r="X50" s="459" t="n"/>
      <c r="Y50" s="459" t="n"/>
      <c r="Z50" s="459" t="n"/>
      <c r="AA50" s="459" t="n"/>
      <c r="AB50" s="459" t="n"/>
      <c r="AC50" s="459" t="n"/>
      <c r="AD50" s="459" t="n"/>
      <c r="AE50" s="459" t="n"/>
      <c r="AF50" s="459" t="n"/>
      <c r="AG50" s="459" t="n"/>
      <c r="AH50" s="459" t="n"/>
      <c r="AI50" s="459" t="n"/>
      <c r="AJ50" s="105">
        <f>SUM(E50:AI50)</f>
        <v/>
      </c>
      <c r="AK50" s="105">
        <f>AJ50*D50</f>
        <v/>
      </c>
    </row>
    <row r="51" ht="25" customHeight="1">
      <c r="A51" s="474" t="inlineStr">
        <is>
          <t>การจัดการความเสี่ยง</t>
        </is>
      </c>
      <c r="B51" s="82" t="n"/>
      <c r="C51" s="95" t="n"/>
      <c r="D51" s="95" t="n"/>
      <c r="E51" s="464" t="n"/>
      <c r="F51" s="464" t="n"/>
      <c r="G51" s="464" t="n"/>
      <c r="H51" s="464" t="n"/>
      <c r="I51" s="464" t="n"/>
      <c r="J51" s="464" t="n"/>
      <c r="K51" s="464" t="n"/>
      <c r="L51" s="464" t="n"/>
      <c r="M51" s="464" t="n"/>
      <c r="N51" s="464" t="n"/>
      <c r="O51" s="464" t="n"/>
      <c r="P51" s="464" t="n"/>
      <c r="Q51" s="464" t="n"/>
      <c r="R51" s="464" t="n"/>
      <c r="S51" s="464" t="n"/>
      <c r="T51" s="464" t="n"/>
      <c r="U51" s="464" t="n"/>
      <c r="V51" s="464" t="n"/>
      <c r="W51" s="464" t="n"/>
      <c r="X51" s="464" t="n"/>
      <c r="Y51" s="464" t="n"/>
      <c r="Z51" s="464" t="n"/>
      <c r="AA51" s="464" t="n"/>
      <c r="AB51" s="464" t="n"/>
      <c r="AC51" s="464" t="n"/>
      <c r="AD51" s="464" t="n"/>
      <c r="AE51" s="464" t="n"/>
      <c r="AF51" s="464" t="n"/>
      <c r="AG51" s="464" t="n"/>
      <c r="AH51" s="464" t="n"/>
      <c r="AI51" s="464" t="n"/>
      <c r="AJ51" s="45" t="n"/>
      <c r="AK51" s="46" t="n"/>
    </row>
    <row r="52" ht="25" customHeight="1">
      <c r="A52" s="482" t="inlineStr">
        <is>
          <t>1. รายงานความเสี่ยง HRMS / เอกสารอื่น ๆ</t>
        </is>
      </c>
      <c r="B52" s="54" t="inlineStr">
        <is>
          <t>ราย</t>
        </is>
      </c>
      <c r="C52" s="92" t="inlineStr">
        <is>
          <t>เหมา</t>
        </is>
      </c>
      <c r="D52" s="92" t="n">
        <v>2.13</v>
      </c>
      <c r="E52" s="467" t="n"/>
      <c r="F52" s="467" t="n"/>
      <c r="G52" s="467" t="n"/>
      <c r="H52" s="467" t="n"/>
      <c r="I52" s="467" t="n"/>
      <c r="J52" s="467" t="n"/>
      <c r="K52" s="467" t="n"/>
      <c r="L52" s="467" t="n"/>
      <c r="M52" s="467" t="n"/>
      <c r="N52" s="467" t="n"/>
      <c r="O52" s="467" t="n"/>
      <c r="P52" s="467" t="n"/>
      <c r="Q52" s="467" t="n"/>
      <c r="R52" s="467" t="n"/>
      <c r="S52" s="467" t="n"/>
      <c r="T52" s="467" t="n"/>
      <c r="U52" s="467" t="n"/>
      <c r="V52" s="467" t="n"/>
      <c r="W52" s="467" t="n"/>
      <c r="X52" s="467" t="n"/>
      <c r="Y52" s="467" t="n"/>
      <c r="Z52" s="467" t="n"/>
      <c r="AA52" s="467" t="n"/>
      <c r="AB52" s="467" t="n"/>
      <c r="AC52" s="467" t="n"/>
      <c r="AD52" s="467" t="n"/>
      <c r="AE52" s="467" t="n"/>
      <c r="AF52" s="467" t="n"/>
      <c r="AG52" s="467" t="n"/>
      <c r="AH52" s="467" t="n"/>
      <c r="AI52" s="467" t="n"/>
      <c r="AJ52" s="50">
        <f>SUM(E52:AI52)</f>
        <v/>
      </c>
      <c r="AK52" s="50">
        <f>AJ52*D52</f>
        <v/>
      </c>
    </row>
    <row r="53" ht="25" customHeight="1">
      <c r="A53" s="132" t="inlineStr">
        <is>
          <t>2. ตอบข้อร้องเรียนความเสี่ยงร่วมกับผู้บังคับบัญชา</t>
        </is>
      </c>
      <c r="B53" s="14" t="inlineStr">
        <is>
          <t>ราย</t>
        </is>
      </c>
      <c r="C53" s="86" t="inlineStr">
        <is>
          <t>เหมา</t>
        </is>
      </c>
      <c r="D53" s="86" t="n">
        <v>4.26</v>
      </c>
      <c r="E53" s="468" t="n"/>
      <c r="F53" s="468" t="n"/>
      <c r="G53" s="468" t="n"/>
      <c r="H53" s="468" t="n"/>
      <c r="I53" s="468" t="n"/>
      <c r="J53" s="468" t="n"/>
      <c r="K53" s="468" t="n"/>
      <c r="L53" s="468" t="n"/>
      <c r="M53" s="468" t="n"/>
      <c r="N53" s="468" t="n"/>
      <c r="O53" s="468" t="n"/>
      <c r="P53" s="468" t="n"/>
      <c r="Q53" s="468" t="n"/>
      <c r="R53" s="468" t="n"/>
      <c r="S53" s="468" t="n"/>
      <c r="T53" s="468" t="n"/>
      <c r="U53" s="468" t="n"/>
      <c r="V53" s="468" t="n"/>
      <c r="W53" s="468" t="n"/>
      <c r="X53" s="468" t="n"/>
      <c r="Y53" s="468" t="n"/>
      <c r="Z53" s="468" t="n"/>
      <c r="AA53" s="468" t="n"/>
      <c r="AB53" s="468" t="n"/>
      <c r="AC53" s="468" t="n"/>
      <c r="AD53" s="468" t="n"/>
      <c r="AE53" s="468" t="n"/>
      <c r="AF53" s="468" t="n"/>
      <c r="AG53" s="468" t="n"/>
      <c r="AH53" s="468" t="n"/>
      <c r="AI53" s="468" t="n"/>
      <c r="AJ53" s="50">
        <f>SUM(E53:AI53)</f>
        <v/>
      </c>
      <c r="AK53" s="50">
        <f>AJ53*D53</f>
        <v/>
      </c>
    </row>
    <row r="54" ht="25" customHeight="1">
      <c r="A54" s="483" t="inlineStr">
        <is>
          <t>3. การบริหารจัดการความเสี่ยงกับผู้รับบริการ</t>
        </is>
      </c>
      <c r="B54" s="15" t="inlineStr">
        <is>
          <t>ครั้ง</t>
        </is>
      </c>
      <c r="C54" s="61" t="inlineStr">
        <is>
          <t>เหมา</t>
        </is>
      </c>
      <c r="D54" s="15" t="n">
        <v>2.13</v>
      </c>
      <c r="E54" s="459" t="n"/>
      <c r="F54" s="459" t="n"/>
      <c r="G54" s="459" t="n"/>
      <c r="H54" s="459" t="n"/>
      <c r="I54" s="459" t="n"/>
      <c r="J54" s="459" t="n"/>
      <c r="K54" s="459" t="n"/>
      <c r="L54" s="459" t="n"/>
      <c r="M54" s="459" t="n"/>
      <c r="N54" s="459" t="n"/>
      <c r="O54" s="459" t="n"/>
      <c r="P54" s="459" t="n"/>
      <c r="Q54" s="459" t="n"/>
      <c r="R54" s="459" t="n"/>
      <c r="S54" s="459" t="n"/>
      <c r="T54" s="459" t="n"/>
      <c r="U54" s="459" t="n"/>
      <c r="V54" s="459" t="n"/>
      <c r="W54" s="459" t="n"/>
      <c r="X54" s="459" t="n"/>
      <c r="Y54" s="459" t="n"/>
      <c r="Z54" s="459" t="n"/>
      <c r="AA54" s="459" t="n"/>
      <c r="AB54" s="459" t="n"/>
      <c r="AC54" s="459" t="n"/>
      <c r="AD54" s="459" t="n"/>
      <c r="AE54" s="459" t="n"/>
      <c r="AF54" s="459" t="n"/>
      <c r="AG54" s="459" t="n"/>
      <c r="AH54" s="459" t="n"/>
      <c r="AI54" s="459" t="n"/>
      <c r="AJ54" s="105">
        <f>SUM(E54:AI54)</f>
        <v/>
      </c>
      <c r="AK54" s="105">
        <f>AJ54*D54</f>
        <v/>
      </c>
    </row>
    <row r="55" ht="25" customHeight="1">
      <c r="A55" s="484" t="inlineStr">
        <is>
          <t>การจัดโครงการในโรงพยาบาล</t>
        </is>
      </c>
      <c r="B55" s="98" t="n"/>
      <c r="C55" s="99" t="n"/>
      <c r="D55" s="99" t="n"/>
      <c r="E55" s="461" t="n"/>
      <c r="F55" s="461" t="n"/>
      <c r="G55" s="461" t="n"/>
      <c r="H55" s="461" t="n"/>
      <c r="I55" s="461" t="n"/>
      <c r="J55" s="461" t="n"/>
      <c r="K55" s="461" t="n"/>
      <c r="L55" s="461" t="n"/>
      <c r="M55" s="461" t="n"/>
      <c r="N55" s="461" t="n"/>
      <c r="O55" s="461" t="n"/>
      <c r="P55" s="461" t="n"/>
      <c r="Q55" s="461" t="n"/>
      <c r="R55" s="461" t="n"/>
      <c r="S55" s="461" t="n"/>
      <c r="T55" s="461" t="n"/>
      <c r="U55" s="461" t="n"/>
      <c r="V55" s="461" t="n"/>
      <c r="W55" s="461" t="n"/>
      <c r="X55" s="461" t="n"/>
      <c r="Y55" s="461" t="n"/>
      <c r="Z55" s="461" t="n"/>
      <c r="AA55" s="461" t="n"/>
      <c r="AB55" s="461" t="n"/>
      <c r="AC55" s="461" t="n"/>
      <c r="AD55" s="461" t="n"/>
      <c r="AE55" s="461" t="n"/>
      <c r="AF55" s="461" t="n"/>
      <c r="AG55" s="461" t="n"/>
      <c r="AH55" s="461" t="n"/>
      <c r="AI55" s="461" t="n"/>
      <c r="AJ55" s="304" t="n"/>
      <c r="AK55" s="305" t="n"/>
    </row>
    <row r="56" ht="25" customHeight="1">
      <c r="A56" s="101" t="inlineStr">
        <is>
          <t>1. การจัดทำโครงการ</t>
        </is>
      </c>
      <c r="B56" s="102" t="n"/>
      <c r="C56" s="103" t="n"/>
      <c r="D56" s="103" t="n"/>
      <c r="E56" s="464" t="n"/>
      <c r="F56" s="464" t="n"/>
      <c r="G56" s="464" t="n"/>
      <c r="H56" s="464" t="n"/>
      <c r="I56" s="464" t="n"/>
      <c r="J56" s="464" t="n"/>
      <c r="K56" s="464" t="n"/>
      <c r="L56" s="464" t="n"/>
      <c r="M56" s="464" t="n"/>
      <c r="N56" s="464" t="n"/>
      <c r="O56" s="464" t="n"/>
      <c r="P56" s="464" t="n"/>
      <c r="Q56" s="464" t="n"/>
      <c r="R56" s="464" t="n"/>
      <c r="S56" s="464" t="n"/>
      <c r="T56" s="464" t="n"/>
      <c r="U56" s="464" t="n"/>
      <c r="V56" s="464" t="n"/>
      <c r="W56" s="464" t="n"/>
      <c r="X56" s="464" t="n"/>
      <c r="Y56" s="464" t="n"/>
      <c r="Z56" s="464" t="n"/>
      <c r="AA56" s="464" t="n"/>
      <c r="AB56" s="464" t="n"/>
      <c r="AC56" s="464" t="n"/>
      <c r="AD56" s="464" t="n"/>
      <c r="AE56" s="464" t="n"/>
      <c r="AF56" s="464" t="n"/>
      <c r="AG56" s="464" t="n"/>
      <c r="AH56" s="464" t="n"/>
      <c r="AI56" s="464" t="n"/>
      <c r="AJ56" s="45" t="n"/>
      <c r="AK56" s="46" t="n"/>
    </row>
    <row r="57" ht="50" customHeight="1">
      <c r="A57" s="469" t="inlineStr">
        <is>
          <t>- โครงการผ่านอนุมัติดำเนินการ (กรุณาระบุหมายเหตุโครงการ ให้คะแนน 1 โครงการ : 1 ครั้ง)</t>
        </is>
      </c>
      <c r="B57" s="104" t="inlineStr">
        <is>
          <t>ครั้ง</t>
        </is>
      </c>
      <c r="C57" s="104" t="inlineStr">
        <is>
          <t>เหมา</t>
        </is>
      </c>
      <c r="D57" s="104" t="n">
        <v>30.03</v>
      </c>
      <c r="E57" s="485" t="n"/>
      <c r="F57" s="485" t="n"/>
      <c r="G57" s="485" t="n"/>
      <c r="H57" s="485" t="n"/>
      <c r="I57" s="485" t="n"/>
      <c r="J57" s="485" t="n"/>
      <c r="K57" s="485" t="n"/>
      <c r="L57" s="485" t="n"/>
      <c r="M57" s="485" t="n"/>
      <c r="N57" s="485" t="n"/>
      <c r="O57" s="485" t="n"/>
      <c r="P57" s="485" t="n"/>
      <c r="Q57" s="485" t="n"/>
      <c r="R57" s="485" t="n"/>
      <c r="S57" s="485" t="n"/>
      <c r="T57" s="485" t="n"/>
      <c r="U57" s="485" t="n"/>
      <c r="V57" s="485" t="n"/>
      <c r="W57" s="485" t="n"/>
      <c r="X57" s="485" t="n"/>
      <c r="Y57" s="485" t="n"/>
      <c r="Z57" s="485" t="n"/>
      <c r="AA57" s="485" t="n"/>
      <c r="AB57" s="485" t="n"/>
      <c r="AC57" s="485" t="n"/>
      <c r="AD57" s="485" t="n"/>
      <c r="AE57" s="485" t="n"/>
      <c r="AF57" s="485" t="n"/>
      <c r="AG57" s="485" t="n"/>
      <c r="AH57" s="485" t="n"/>
      <c r="AI57" s="485" t="n"/>
      <c r="AJ57" s="105">
        <f>SUM(E57:AI57)</f>
        <v/>
      </c>
      <c r="AK57" s="105">
        <f>AJ57*D57</f>
        <v/>
      </c>
    </row>
    <row r="58" ht="25" customHeight="1">
      <c r="A58" s="101" t="inlineStr">
        <is>
          <t>2. วันที่ดำเนินโครงการ/กิจกรรม</t>
        </is>
      </c>
      <c r="B58" s="106" t="n"/>
      <c r="C58" s="107" t="n"/>
      <c r="D58" s="107" t="n"/>
      <c r="E58" s="464" t="n"/>
      <c r="F58" s="464" t="n"/>
      <c r="G58" s="464" t="n"/>
      <c r="H58" s="464" t="n"/>
      <c r="I58" s="464" t="n"/>
      <c r="J58" s="464" t="n"/>
      <c r="K58" s="464" t="n"/>
      <c r="L58" s="464" t="n"/>
      <c r="M58" s="464" t="n"/>
      <c r="N58" s="464" t="n"/>
      <c r="O58" s="464" t="n"/>
      <c r="P58" s="464" t="n"/>
      <c r="Q58" s="464" t="n"/>
      <c r="R58" s="464" t="n"/>
      <c r="S58" s="464" t="n"/>
      <c r="T58" s="464" t="n"/>
      <c r="U58" s="464" t="n"/>
      <c r="V58" s="464" t="n"/>
      <c r="W58" s="464" t="n"/>
      <c r="X58" s="464" t="n"/>
      <c r="Y58" s="464" t="n"/>
      <c r="Z58" s="464" t="n"/>
      <c r="AA58" s="464" t="n"/>
      <c r="AB58" s="464" t="n"/>
      <c r="AC58" s="464" t="n"/>
      <c r="AD58" s="464" t="n"/>
      <c r="AE58" s="464" t="n"/>
      <c r="AF58" s="464" t="n"/>
      <c r="AG58" s="464" t="n"/>
      <c r="AH58" s="464" t="n"/>
      <c r="AI58" s="464" t="n"/>
      <c r="AJ58" s="45" t="n"/>
      <c r="AK58" s="46" t="n"/>
    </row>
    <row r="59" ht="50" customHeight="1">
      <c r="A59" s="469" t="inlineStr">
        <is>
          <t>- Project manager (กรุณาระบุหมายเหตุโครงการ สามารถเก็บคะแนนได้ตามจำนวนวันที่ปฏิบัติจริง)</t>
        </is>
      </c>
      <c r="B59" s="108" t="inlineStr">
        <is>
          <t>ครั้ง</t>
        </is>
      </c>
      <c r="C59" s="108" t="inlineStr">
        <is>
          <t>เหมา</t>
        </is>
      </c>
      <c r="D59" s="108" t="n">
        <v>30.03</v>
      </c>
      <c r="E59" s="467" t="n"/>
      <c r="F59" s="467" t="n"/>
      <c r="G59" s="467" t="n"/>
      <c r="H59" s="467" t="n"/>
      <c r="I59" s="467" t="n"/>
      <c r="J59" s="467" t="n"/>
      <c r="K59" s="467" t="n"/>
      <c r="L59" s="467" t="n"/>
      <c r="M59" s="467" t="n"/>
      <c r="N59" s="467" t="n"/>
      <c r="O59" s="467" t="n"/>
      <c r="P59" s="467" t="n"/>
      <c r="Q59" s="467" t="n"/>
      <c r="R59" s="467" t="n"/>
      <c r="S59" s="467" t="n"/>
      <c r="T59" s="467" t="n"/>
      <c r="U59" s="467" t="n"/>
      <c r="V59" s="467" t="n"/>
      <c r="W59" s="467" t="n"/>
      <c r="X59" s="467" t="n"/>
      <c r="Y59" s="467" t="n"/>
      <c r="Z59" s="467" t="n"/>
      <c r="AA59" s="467" t="n"/>
      <c r="AB59" s="467" t="n"/>
      <c r="AC59" s="467" t="n"/>
      <c r="AD59" s="467" t="n"/>
      <c r="AE59" s="467" t="n"/>
      <c r="AF59" s="467" t="n"/>
      <c r="AG59" s="467" t="n"/>
      <c r="AH59" s="467" t="n"/>
      <c r="AI59" s="467" t="n"/>
      <c r="AJ59" s="50">
        <f>SUM(E59:AI59)</f>
        <v/>
      </c>
      <c r="AK59" s="50">
        <f>AJ59*D59</f>
        <v/>
      </c>
    </row>
    <row r="60" ht="50" customHeight="1">
      <c r="A60" s="469" t="inlineStr">
        <is>
          <t>- Member (กรุณาระบุหมายเหตุโครงการ สามารถเก็บคะแนนได้ตามจำนวนวันที่ปฏิบัติจริง)</t>
        </is>
      </c>
      <c r="B60" s="18" t="inlineStr">
        <is>
          <t>ครั้ง</t>
        </is>
      </c>
      <c r="C60" s="18" t="inlineStr">
        <is>
          <t>เหมา</t>
        </is>
      </c>
      <c r="D60" s="18" t="n">
        <v>15</v>
      </c>
      <c r="E60" s="459" t="n"/>
      <c r="F60" s="459" t="n"/>
      <c r="G60" s="459" t="n"/>
      <c r="H60" s="459" t="n"/>
      <c r="I60" s="459" t="n"/>
      <c r="J60" s="459" t="n"/>
      <c r="K60" s="459" t="n"/>
      <c r="L60" s="459" t="n"/>
      <c r="M60" s="459" t="n"/>
      <c r="N60" s="459" t="n"/>
      <c r="O60" s="459" t="n"/>
      <c r="P60" s="459" t="n"/>
      <c r="Q60" s="459" t="n"/>
      <c r="R60" s="459" t="n"/>
      <c r="S60" s="459" t="n"/>
      <c r="T60" s="459" t="n"/>
      <c r="U60" s="459" t="n"/>
      <c r="V60" s="459" t="n"/>
      <c r="W60" s="459" t="n"/>
      <c r="X60" s="459" t="n"/>
      <c r="Y60" s="459" t="n"/>
      <c r="Z60" s="459" t="n"/>
      <c r="AA60" s="459" t="n"/>
      <c r="AB60" s="459" t="n"/>
      <c r="AC60" s="459" t="n"/>
      <c r="AD60" s="459" t="n"/>
      <c r="AE60" s="459" t="n"/>
      <c r="AF60" s="459" t="n"/>
      <c r="AG60" s="459" t="n"/>
      <c r="AH60" s="459" t="n"/>
      <c r="AI60" s="459" t="n"/>
      <c r="AJ60" s="105">
        <f>SUM(E60:AI60)</f>
        <v/>
      </c>
      <c r="AK60" s="105">
        <f>AJ60*D60</f>
        <v/>
      </c>
    </row>
    <row r="61" ht="25" customHeight="1">
      <c r="A61" s="101" t="inlineStr">
        <is>
          <t>3. สรุปผลการดำเนินโครงการ</t>
        </is>
      </c>
      <c r="B61" s="106" t="n"/>
      <c r="C61" s="107" t="n"/>
      <c r="D61" s="107" t="n"/>
      <c r="E61" s="464" t="n"/>
      <c r="F61" s="464" t="n"/>
      <c r="G61" s="464" t="n"/>
      <c r="H61" s="464" t="n"/>
      <c r="I61" s="464" t="n"/>
      <c r="J61" s="464" t="n"/>
      <c r="K61" s="464" t="n"/>
      <c r="L61" s="464" t="n"/>
      <c r="M61" s="464" t="n"/>
      <c r="N61" s="464" t="n"/>
      <c r="O61" s="464" t="n"/>
      <c r="P61" s="464" t="n"/>
      <c r="Q61" s="464" t="n"/>
      <c r="R61" s="464" t="n"/>
      <c r="S61" s="464" t="n"/>
      <c r="T61" s="464" t="n"/>
      <c r="U61" s="464" t="n"/>
      <c r="V61" s="464" t="n"/>
      <c r="W61" s="464" t="n"/>
      <c r="X61" s="464" t="n"/>
      <c r="Y61" s="464" t="n"/>
      <c r="Z61" s="464" t="n"/>
      <c r="AA61" s="464" t="n"/>
      <c r="AB61" s="464" t="n"/>
      <c r="AC61" s="464" t="n"/>
      <c r="AD61" s="464" t="n"/>
      <c r="AE61" s="464" t="n"/>
      <c r="AF61" s="464" t="n"/>
      <c r="AG61" s="464" t="n"/>
      <c r="AH61" s="464" t="n"/>
      <c r="AI61" s="464" t="n"/>
      <c r="AJ61" s="45" t="n"/>
      <c r="AK61" s="46" t="n"/>
    </row>
    <row r="62" ht="50" customHeight="1">
      <c r="A62" s="469" t="inlineStr">
        <is>
          <t>- สรุปผลการดำเนินโครงการ (กรุณาระบุหมายเหตุโครงการ ให้คะแนน 1 โครงการ : 1 ครั้ง)</t>
        </is>
      </c>
      <c r="B62" s="104" t="inlineStr">
        <is>
          <t>ครั้ง</t>
        </is>
      </c>
      <c r="C62" s="104" t="inlineStr">
        <is>
          <t>เหมา</t>
        </is>
      </c>
      <c r="D62" s="104" t="n">
        <v>30.03</v>
      </c>
      <c r="E62" s="485" t="n"/>
      <c r="F62" s="485" t="n"/>
      <c r="G62" s="485" t="n"/>
      <c r="H62" s="485" t="n"/>
      <c r="I62" s="485" t="n"/>
      <c r="J62" s="485" t="n"/>
      <c r="K62" s="485" t="n"/>
      <c r="L62" s="485" t="n"/>
      <c r="M62" s="485" t="n"/>
      <c r="N62" s="485" t="n"/>
      <c r="O62" s="485" t="n"/>
      <c r="P62" s="485" t="n"/>
      <c r="Q62" s="485" t="n"/>
      <c r="R62" s="485" t="n"/>
      <c r="S62" s="485" t="n"/>
      <c r="T62" s="485" t="n"/>
      <c r="U62" s="485" t="n"/>
      <c r="V62" s="485" t="n"/>
      <c r="W62" s="485" t="n"/>
      <c r="X62" s="485" t="n"/>
      <c r="Y62" s="485" t="n"/>
      <c r="Z62" s="485" t="n"/>
      <c r="AA62" s="485" t="n"/>
      <c r="AB62" s="485" t="n"/>
      <c r="AC62" s="485" t="n"/>
      <c r="AD62" s="485" t="n"/>
      <c r="AE62" s="485" t="n"/>
      <c r="AF62" s="485" t="n"/>
      <c r="AG62" s="485" t="n"/>
      <c r="AH62" s="485" t="n"/>
      <c r="AI62" s="485" t="n"/>
      <c r="AJ62" s="105">
        <f>SUM(E62:AI62)</f>
        <v/>
      </c>
      <c r="AK62" s="105">
        <f>AJ62*D62</f>
        <v/>
      </c>
    </row>
    <row r="63" ht="25" customHeight="1">
      <c r="A63" s="486" t="inlineStr">
        <is>
          <t xml:space="preserve">ตรวจสอบ/ช่วยลงคะแนน P4P </t>
        </is>
      </c>
      <c r="B63" s="109" t="n"/>
      <c r="C63" s="110" t="n"/>
      <c r="D63" s="110" t="n"/>
      <c r="E63" s="464" t="n"/>
      <c r="F63" s="464" t="n"/>
      <c r="G63" s="464" t="n"/>
      <c r="H63" s="464" t="n"/>
      <c r="I63" s="464" t="n"/>
      <c r="J63" s="464" t="n"/>
      <c r="K63" s="464" t="n"/>
      <c r="L63" s="464" t="n"/>
      <c r="M63" s="464" t="n"/>
      <c r="N63" s="464" t="n"/>
      <c r="O63" s="464" t="n"/>
      <c r="P63" s="464" t="n"/>
      <c r="Q63" s="464" t="n"/>
      <c r="R63" s="464" t="n"/>
      <c r="S63" s="464" t="n"/>
      <c r="T63" s="464" t="n"/>
      <c r="U63" s="464" t="n"/>
      <c r="V63" s="464" t="n"/>
      <c r="W63" s="464" t="n"/>
      <c r="X63" s="464" t="n"/>
      <c r="Y63" s="464" t="n"/>
      <c r="Z63" s="464" t="n"/>
      <c r="AA63" s="464" t="n"/>
      <c r="AB63" s="464" t="n"/>
      <c r="AC63" s="464" t="n"/>
      <c r="AD63" s="464" t="n"/>
      <c r="AE63" s="464" t="n"/>
      <c r="AF63" s="464" t="n"/>
      <c r="AG63" s="464" t="n"/>
      <c r="AH63" s="464" t="n"/>
      <c r="AI63" s="464" t="n"/>
      <c r="AJ63" s="45" t="n"/>
      <c r="AK63" s="46" t="n"/>
    </row>
    <row r="64" ht="25" customHeight="1">
      <c r="A64" s="487" t="inlineStr">
        <is>
          <t>1. ตราวจสอบจำนวน 1 - 10 ราย</t>
        </is>
      </c>
      <c r="B64" s="92" t="inlineStr">
        <is>
          <t>เดือน</t>
        </is>
      </c>
      <c r="C64" s="71" t="inlineStr">
        <is>
          <t>เหมา</t>
        </is>
      </c>
      <c r="D64" s="48" t="n">
        <v>50</v>
      </c>
      <c r="E64" s="467" t="n"/>
      <c r="F64" s="467" t="n"/>
      <c r="G64" s="467" t="n"/>
      <c r="H64" s="467" t="n"/>
      <c r="I64" s="467" t="n"/>
      <c r="J64" s="467" t="n"/>
      <c r="K64" s="467" t="n"/>
      <c r="L64" s="467" t="n"/>
      <c r="M64" s="467" t="n"/>
      <c r="N64" s="467" t="n"/>
      <c r="O64" s="467" t="n"/>
      <c r="P64" s="467" t="n"/>
      <c r="Q64" s="467" t="n"/>
      <c r="R64" s="467" t="n"/>
      <c r="S64" s="467" t="n"/>
      <c r="T64" s="467" t="n"/>
      <c r="U64" s="467" t="n"/>
      <c r="V64" s="467" t="n"/>
      <c r="W64" s="467" t="n"/>
      <c r="X64" s="467" t="n"/>
      <c r="Y64" s="467" t="n"/>
      <c r="Z64" s="467" t="n"/>
      <c r="AA64" s="467" t="n"/>
      <c r="AB64" s="467" t="n"/>
      <c r="AC64" s="467" t="n"/>
      <c r="AD64" s="467" t="n"/>
      <c r="AE64" s="467" t="n"/>
      <c r="AF64" s="467" t="n"/>
      <c r="AG64" s="467" t="n"/>
      <c r="AH64" s="467" t="n"/>
      <c r="AI64" s="467" t="n"/>
      <c r="AJ64" s="50">
        <f>SUM(E64:AI64)</f>
        <v/>
      </c>
      <c r="AK64" s="50">
        <f>AJ64*D64</f>
        <v/>
      </c>
    </row>
    <row r="65" ht="25" customHeight="1">
      <c r="A65" s="487" t="inlineStr">
        <is>
          <t>2. ตราวจสอบจำนวน 11 - 20 ราย</t>
        </is>
      </c>
      <c r="B65" s="86" t="inlineStr">
        <is>
          <t>เดือน</t>
        </is>
      </c>
      <c r="C65" s="73" t="inlineStr">
        <is>
          <t>เหมา</t>
        </is>
      </c>
      <c r="D65" s="28" t="n">
        <v>100</v>
      </c>
      <c r="E65" s="468" t="n"/>
      <c r="F65" s="468" t="n"/>
      <c r="G65" s="468" t="n"/>
      <c r="H65" s="468" t="n"/>
      <c r="I65" s="468" t="n"/>
      <c r="J65" s="468" t="n"/>
      <c r="K65" s="468" t="n"/>
      <c r="L65" s="468" t="n"/>
      <c r="M65" s="468" t="n"/>
      <c r="N65" s="468" t="n"/>
      <c r="O65" s="468" t="n"/>
      <c r="P65" s="468" t="n"/>
      <c r="Q65" s="468" t="n"/>
      <c r="R65" s="468" t="n"/>
      <c r="S65" s="468" t="n"/>
      <c r="T65" s="468" t="n"/>
      <c r="U65" s="468" t="n"/>
      <c r="V65" s="468" t="n"/>
      <c r="W65" s="468" t="n"/>
      <c r="X65" s="468" t="n"/>
      <c r="Y65" s="468" t="n"/>
      <c r="Z65" s="468" t="n"/>
      <c r="AA65" s="468" t="n"/>
      <c r="AB65" s="468" t="n"/>
      <c r="AC65" s="468" t="n"/>
      <c r="AD65" s="468" t="n"/>
      <c r="AE65" s="468" t="n"/>
      <c r="AF65" s="468" t="n"/>
      <c r="AG65" s="468" t="n"/>
      <c r="AH65" s="468" t="n"/>
      <c r="AI65" s="468" t="n"/>
      <c r="AJ65" s="50">
        <f>SUM(E65:AI65)</f>
        <v/>
      </c>
      <c r="AK65" s="50">
        <f>AJ65*D65</f>
        <v/>
      </c>
    </row>
    <row r="66" ht="25" customHeight="1">
      <c r="A66" s="487" t="inlineStr">
        <is>
          <t>3. ตราวจสอบจำนวน 21 - 30 ราย</t>
        </is>
      </c>
      <c r="B66" s="86" t="inlineStr">
        <is>
          <t>เดือน</t>
        </is>
      </c>
      <c r="C66" s="73" t="inlineStr">
        <is>
          <t>เหมา</t>
        </is>
      </c>
      <c r="D66" s="28" t="n">
        <v>150</v>
      </c>
      <c r="E66" s="468" t="n"/>
      <c r="F66" s="468" t="n"/>
      <c r="G66" s="468" t="n"/>
      <c r="H66" s="468" t="n"/>
      <c r="I66" s="468" t="n"/>
      <c r="J66" s="468" t="n"/>
      <c r="K66" s="468" t="n"/>
      <c r="L66" s="468" t="n"/>
      <c r="M66" s="468" t="n"/>
      <c r="N66" s="468" t="n"/>
      <c r="O66" s="468" t="n"/>
      <c r="P66" s="468" t="n"/>
      <c r="Q66" s="468" t="n"/>
      <c r="R66" s="468" t="n"/>
      <c r="S66" s="468" t="n"/>
      <c r="T66" s="468" t="n"/>
      <c r="U66" s="468" t="n"/>
      <c r="V66" s="468" t="n"/>
      <c r="W66" s="468" t="n"/>
      <c r="X66" s="468" t="n"/>
      <c r="Y66" s="468" t="n"/>
      <c r="Z66" s="468" t="n"/>
      <c r="AA66" s="468" t="n"/>
      <c r="AB66" s="468" t="n"/>
      <c r="AC66" s="468" t="n"/>
      <c r="AD66" s="468" t="n"/>
      <c r="AE66" s="468" t="n"/>
      <c r="AF66" s="468" t="n"/>
      <c r="AG66" s="468" t="n"/>
      <c r="AH66" s="468" t="n"/>
      <c r="AI66" s="468" t="n"/>
      <c r="AJ66" s="50">
        <f>SUM(E66:AI66)</f>
        <v/>
      </c>
      <c r="AK66" s="50">
        <f>AJ66*D66</f>
        <v/>
      </c>
    </row>
    <row r="67" ht="25" customHeight="1">
      <c r="A67" s="487" t="inlineStr">
        <is>
          <t>4. ตราวจสอบจำนวน 31 - 40 ราย</t>
        </is>
      </c>
      <c r="B67" s="86" t="inlineStr">
        <is>
          <t>เดือน</t>
        </is>
      </c>
      <c r="C67" s="73" t="inlineStr">
        <is>
          <t>เหมา</t>
        </is>
      </c>
      <c r="D67" s="28" t="n">
        <v>200</v>
      </c>
      <c r="E67" s="468" t="n"/>
      <c r="F67" s="468" t="n"/>
      <c r="G67" s="468" t="n"/>
      <c r="H67" s="468" t="n"/>
      <c r="I67" s="468" t="n"/>
      <c r="J67" s="468" t="n"/>
      <c r="K67" s="468" t="n"/>
      <c r="L67" s="468" t="n"/>
      <c r="M67" s="468" t="n"/>
      <c r="N67" s="468" t="n"/>
      <c r="O67" s="468" t="n"/>
      <c r="P67" s="468" t="n"/>
      <c r="Q67" s="468" t="n"/>
      <c r="R67" s="468" t="n"/>
      <c r="S67" s="468" t="n"/>
      <c r="T67" s="468" t="n"/>
      <c r="U67" s="468" t="n"/>
      <c r="V67" s="468" t="n"/>
      <c r="W67" s="468" t="n"/>
      <c r="X67" s="468" t="n"/>
      <c r="Y67" s="468" t="n"/>
      <c r="Z67" s="468" t="n"/>
      <c r="AA67" s="468" t="n"/>
      <c r="AB67" s="468" t="n"/>
      <c r="AC67" s="468" t="n"/>
      <c r="AD67" s="468" t="n"/>
      <c r="AE67" s="468" t="n"/>
      <c r="AF67" s="468" t="n"/>
      <c r="AG67" s="468" t="n"/>
      <c r="AH67" s="468" t="n"/>
      <c r="AI67" s="468" t="n"/>
      <c r="AJ67" s="50">
        <f>SUM(E67:AI67)</f>
        <v/>
      </c>
      <c r="AK67" s="50">
        <f>AJ67*D67</f>
        <v/>
      </c>
    </row>
    <row r="68" ht="25" customHeight="1">
      <c r="A68" s="487" t="inlineStr">
        <is>
          <t>5. ตราวจสอบจำนวนมากกว่า 40 ราย</t>
        </is>
      </c>
      <c r="B68" s="86" t="inlineStr">
        <is>
          <t>เดือน</t>
        </is>
      </c>
      <c r="C68" s="73" t="inlineStr">
        <is>
          <t>เหมา</t>
        </is>
      </c>
      <c r="D68" s="28" t="n">
        <v>250</v>
      </c>
      <c r="E68" s="468" t="n"/>
      <c r="F68" s="468" t="n"/>
      <c r="G68" s="468" t="n"/>
      <c r="H68" s="468" t="n"/>
      <c r="I68" s="468" t="n"/>
      <c r="J68" s="468" t="n"/>
      <c r="K68" s="468" t="n"/>
      <c r="L68" s="468" t="n"/>
      <c r="M68" s="468" t="n"/>
      <c r="N68" s="468" t="n"/>
      <c r="O68" s="468" t="n"/>
      <c r="P68" s="468" t="n"/>
      <c r="Q68" s="468" t="n"/>
      <c r="R68" s="468" t="n"/>
      <c r="S68" s="468" t="n"/>
      <c r="T68" s="468" t="n"/>
      <c r="U68" s="468" t="n"/>
      <c r="V68" s="468" t="n"/>
      <c r="W68" s="468" t="n"/>
      <c r="X68" s="468" t="n"/>
      <c r="Y68" s="468" t="n"/>
      <c r="Z68" s="468" t="n"/>
      <c r="AA68" s="468" t="n"/>
      <c r="AB68" s="468" t="n"/>
      <c r="AC68" s="468" t="n"/>
      <c r="AD68" s="468" t="n"/>
      <c r="AE68" s="468" t="n"/>
      <c r="AF68" s="468" t="n"/>
      <c r="AG68" s="468" t="n"/>
      <c r="AH68" s="468" t="n"/>
      <c r="AI68" s="468" t="n"/>
      <c r="AJ68" s="50">
        <f>SUM(E68:AI68)</f>
        <v/>
      </c>
      <c r="AK68" s="50">
        <f>AJ68*D68</f>
        <v/>
      </c>
    </row>
    <row r="69" ht="25" customHeight="1">
      <c r="A69" s="64" t="inlineStr">
        <is>
          <t>6. ช่วยลงคะแนน P4P พนักงาน/ NA</t>
        </is>
      </c>
      <c r="B69" s="15" t="inlineStr">
        <is>
          <t>ราย</t>
        </is>
      </c>
      <c r="C69" s="61" t="inlineStr">
        <is>
          <t>เหมา</t>
        </is>
      </c>
      <c r="D69" s="15" t="n">
        <v>0.36</v>
      </c>
      <c r="E69" s="459" t="n"/>
      <c r="F69" s="459" t="n"/>
      <c r="G69" s="459" t="n"/>
      <c r="H69" s="459" t="n"/>
      <c r="I69" s="459" t="n"/>
      <c r="J69" s="459" t="n"/>
      <c r="K69" s="459" t="n"/>
      <c r="L69" s="459" t="n"/>
      <c r="M69" s="459" t="n"/>
      <c r="N69" s="459" t="n"/>
      <c r="O69" s="459" t="n"/>
      <c r="P69" s="459" t="n"/>
      <c r="Q69" s="459" t="n"/>
      <c r="R69" s="459" t="n"/>
      <c r="S69" s="459" t="n"/>
      <c r="T69" s="459" t="n"/>
      <c r="U69" s="459" t="n"/>
      <c r="V69" s="459" t="n"/>
      <c r="W69" s="459" t="n"/>
      <c r="X69" s="459" t="n"/>
      <c r="Y69" s="459" t="n"/>
      <c r="Z69" s="459" t="n"/>
      <c r="AA69" s="459" t="n"/>
      <c r="AB69" s="459" t="n"/>
      <c r="AC69" s="459" t="n"/>
      <c r="AD69" s="459" t="n"/>
      <c r="AE69" s="459" t="n"/>
      <c r="AF69" s="459" t="n"/>
      <c r="AG69" s="459" t="n"/>
      <c r="AH69" s="459" t="n"/>
      <c r="AI69" s="459" t="n"/>
      <c r="AJ69" s="105">
        <f>SUM(E69:AI69)</f>
        <v/>
      </c>
      <c r="AK69" s="105">
        <f>AJ69*D69</f>
        <v/>
      </c>
    </row>
    <row r="70">
      <c r="A70" s="488" t="inlineStr">
        <is>
          <t>งานเอกสาร/คุณภาพ</t>
        </is>
      </c>
      <c r="B70" s="56" t="n"/>
      <c r="C70" s="53" t="n"/>
      <c r="D70" s="53" t="n"/>
      <c r="E70" s="464" t="n"/>
      <c r="F70" s="464" t="n"/>
      <c r="G70" s="464" t="n"/>
      <c r="H70" s="464" t="n"/>
      <c r="I70" s="464" t="n"/>
      <c r="J70" s="464" t="n"/>
      <c r="K70" s="464" t="n"/>
      <c r="L70" s="464" t="n"/>
      <c r="M70" s="464" t="n"/>
      <c r="N70" s="464" t="n"/>
      <c r="O70" s="464" t="n"/>
      <c r="P70" s="464" t="n"/>
      <c r="Q70" s="464" t="n"/>
      <c r="R70" s="464" t="n"/>
      <c r="S70" s="464" t="n"/>
      <c r="T70" s="464" t="n"/>
      <c r="U70" s="464" t="n"/>
      <c r="V70" s="464" t="n"/>
      <c r="W70" s="464" t="n"/>
      <c r="X70" s="464" t="n"/>
      <c r="Y70" s="464" t="n"/>
      <c r="Z70" s="464" t="n"/>
      <c r="AA70" s="464" t="n"/>
      <c r="AB70" s="464" t="n"/>
      <c r="AC70" s="464" t="n"/>
      <c r="AD70" s="464" t="n"/>
      <c r="AE70" s="464" t="n"/>
      <c r="AF70" s="464" t="n"/>
      <c r="AG70" s="464" t="n"/>
      <c r="AH70" s="464" t="n"/>
      <c r="AI70" s="464" t="n"/>
      <c r="AJ70" s="45" t="n"/>
      <c r="AK70" s="46" t="n"/>
    </row>
    <row r="71">
      <c r="A71" s="476" t="inlineStr">
        <is>
          <t xml:space="preserve">1. พิมพ์งาน เอกสาร/งานคุณภาพ ต่าง ๆ </t>
        </is>
      </c>
      <c r="B71" s="489" t="inlineStr">
        <is>
          <t>ครั้ง</t>
        </is>
      </c>
      <c r="C71" s="490" t="inlineStr">
        <is>
          <t>เหมา</t>
        </is>
      </c>
      <c r="D71" s="88" t="n">
        <v>2.13</v>
      </c>
      <c r="E71" s="485" t="n"/>
      <c r="F71" s="485" t="n"/>
      <c r="G71" s="485" t="n"/>
      <c r="H71" s="485" t="n"/>
      <c r="I71" s="485" t="n"/>
      <c r="J71" s="485" t="n"/>
      <c r="K71" s="485" t="n"/>
      <c r="L71" s="485" t="n"/>
      <c r="M71" s="485" t="n"/>
      <c r="N71" s="485" t="n"/>
      <c r="O71" s="485" t="n"/>
      <c r="P71" s="485" t="n"/>
      <c r="Q71" s="485" t="n"/>
      <c r="R71" s="485" t="n"/>
      <c r="S71" s="485" t="n"/>
      <c r="T71" s="485" t="n"/>
      <c r="U71" s="485" t="n"/>
      <c r="V71" s="485" t="n"/>
      <c r="W71" s="485" t="n"/>
      <c r="X71" s="485" t="n"/>
      <c r="Y71" s="485" t="n"/>
      <c r="Z71" s="485" t="n"/>
      <c r="AA71" s="485" t="n"/>
      <c r="AB71" s="485" t="n"/>
      <c r="AC71" s="485" t="n"/>
      <c r="AD71" s="485" t="n"/>
      <c r="AE71" s="485" t="n"/>
      <c r="AF71" s="485" t="n"/>
      <c r="AG71" s="485" t="n"/>
      <c r="AH71" s="485" t="n"/>
      <c r="AI71" s="485" t="n"/>
      <c r="AJ71" s="105">
        <f>SUM(E71:AI71)</f>
        <v/>
      </c>
      <c r="AK71" s="105">
        <f>AJ71*D71</f>
        <v/>
      </c>
    </row>
    <row r="72" ht="25" customHeight="1">
      <c r="A72" s="491" t="inlineStr">
        <is>
          <t>การฝึกระเบียบแถว</t>
        </is>
      </c>
      <c r="B72" s="113" t="n"/>
      <c r="C72" s="114" t="n"/>
      <c r="D72" s="117" t="n"/>
      <c r="E72" s="464" t="n"/>
      <c r="F72" s="464" t="n"/>
      <c r="G72" s="464" t="n"/>
      <c r="H72" s="464" t="n"/>
      <c r="I72" s="464" t="n"/>
      <c r="J72" s="464" t="n"/>
      <c r="K72" s="464" t="n"/>
      <c r="L72" s="464" t="n"/>
      <c r="M72" s="464" t="n"/>
      <c r="N72" s="464" t="n"/>
      <c r="O72" s="464" t="n"/>
      <c r="P72" s="464" t="n"/>
      <c r="Q72" s="464" t="n"/>
      <c r="R72" s="464" t="n"/>
      <c r="S72" s="464" t="n"/>
      <c r="T72" s="464" t="n"/>
      <c r="U72" s="464" t="n"/>
      <c r="V72" s="464" t="n"/>
      <c r="W72" s="464" t="n"/>
      <c r="X72" s="464" t="n"/>
      <c r="Y72" s="464" t="n"/>
      <c r="Z72" s="464" t="n"/>
      <c r="AA72" s="464" t="n"/>
      <c r="AB72" s="464" t="n"/>
      <c r="AC72" s="464" t="n"/>
      <c r="AD72" s="464" t="n"/>
      <c r="AE72" s="464" t="n"/>
      <c r="AF72" s="464" t="n"/>
      <c r="AG72" s="464" t="n"/>
      <c r="AH72" s="464" t="n"/>
      <c r="AI72" s="464" t="n"/>
      <c r="AJ72" s="45" t="n"/>
      <c r="AK72" s="46" t="n"/>
    </row>
    <row r="73">
      <c r="A73" s="64" t="inlineStr">
        <is>
          <t>1. แถวประจำสัปดาห์/เดือน</t>
        </is>
      </c>
      <c r="B73" s="489" t="inlineStr">
        <is>
          <t>ครั้ง</t>
        </is>
      </c>
      <c r="C73" s="490" t="inlineStr">
        <is>
          <t>เหมา</t>
        </is>
      </c>
      <c r="D73" s="88" t="n">
        <v>2.13</v>
      </c>
      <c r="E73" s="485" t="n"/>
      <c r="F73" s="485" t="n"/>
      <c r="G73" s="485" t="n"/>
      <c r="H73" s="485" t="n"/>
      <c r="I73" s="485" t="n"/>
      <c r="J73" s="485" t="n"/>
      <c r="K73" s="485" t="n"/>
      <c r="L73" s="485" t="n"/>
      <c r="M73" s="485" t="n"/>
      <c r="N73" s="485" t="n"/>
      <c r="O73" s="485" t="n"/>
      <c r="P73" s="485" t="n"/>
      <c r="Q73" s="485" t="n"/>
      <c r="R73" s="485" t="n"/>
      <c r="S73" s="485" t="n"/>
      <c r="T73" s="485" t="n"/>
      <c r="U73" s="485" t="n"/>
      <c r="V73" s="485" t="n"/>
      <c r="W73" s="485" t="n"/>
      <c r="X73" s="485" t="n"/>
      <c r="Y73" s="485" t="n"/>
      <c r="Z73" s="485" t="n"/>
      <c r="AA73" s="485" t="n"/>
      <c r="AB73" s="485" t="n"/>
      <c r="AC73" s="485" t="n"/>
      <c r="AD73" s="485" t="n"/>
      <c r="AE73" s="485" t="n"/>
      <c r="AF73" s="485" t="n"/>
      <c r="AG73" s="485" t="n"/>
      <c r="AH73" s="485" t="n"/>
      <c r="AI73" s="485" t="n"/>
      <c r="AJ73" s="105">
        <f>SUM(E73:AI73)</f>
        <v/>
      </c>
      <c r="AK73" s="105">
        <f>AJ73*D73</f>
        <v/>
      </c>
    </row>
    <row r="74">
      <c r="A74" s="463" t="inlineStr">
        <is>
          <t>การบริหารจัดการในหน่วยงาน</t>
        </is>
      </c>
      <c r="B74" s="41" t="n"/>
      <c r="C74" s="43" t="n"/>
      <c r="D74" s="53" t="n"/>
      <c r="E74" s="464" t="n"/>
      <c r="F74" s="464" t="n"/>
      <c r="G74" s="464" t="n"/>
      <c r="H74" s="464" t="n"/>
      <c r="I74" s="464" t="n"/>
      <c r="J74" s="464" t="n"/>
      <c r="K74" s="464" t="n"/>
      <c r="L74" s="464" t="n"/>
      <c r="M74" s="464" t="n"/>
      <c r="N74" s="464" t="n"/>
      <c r="O74" s="464" t="n"/>
      <c r="P74" s="464" t="n"/>
      <c r="Q74" s="464" t="n"/>
      <c r="R74" s="464" t="n"/>
      <c r="S74" s="464" t="n"/>
      <c r="T74" s="464" t="n"/>
      <c r="U74" s="464" t="n"/>
      <c r="V74" s="464" t="n"/>
      <c r="W74" s="464" t="n"/>
      <c r="X74" s="464" t="n"/>
      <c r="Y74" s="464" t="n"/>
      <c r="Z74" s="464" t="n"/>
      <c r="AA74" s="464" t="n"/>
      <c r="AB74" s="464" t="n"/>
      <c r="AC74" s="464" t="n"/>
      <c r="AD74" s="464" t="n"/>
      <c r="AE74" s="464" t="n"/>
      <c r="AF74" s="464" t="n"/>
      <c r="AG74" s="464" t="n"/>
      <c r="AH74" s="464" t="n"/>
      <c r="AI74" s="464" t="n"/>
      <c r="AJ74" s="45" t="n"/>
      <c r="AK74" s="46" t="n"/>
    </row>
    <row r="75" ht="25" customHeight="1">
      <c r="A75" s="492" t="inlineStr">
        <is>
          <t>1. สร้าง/ปรับแบบฟอร์ม</t>
        </is>
      </c>
      <c r="B75" s="493" t="inlineStr">
        <is>
          <t>แบบฟอร์ม</t>
        </is>
      </c>
      <c r="C75" s="494" t="inlineStr">
        <is>
          <t>เหมา</t>
        </is>
      </c>
      <c r="D75" s="495" t="n">
        <v>15</v>
      </c>
      <c r="E75" s="467" t="n"/>
      <c r="F75" s="467" t="n"/>
      <c r="G75" s="467" t="n"/>
      <c r="H75" s="467" t="n"/>
      <c r="I75" s="467" t="n"/>
      <c r="J75" s="467" t="n"/>
      <c r="K75" s="467" t="n"/>
      <c r="L75" s="467" t="n"/>
      <c r="M75" s="467" t="n"/>
      <c r="N75" s="467" t="n"/>
      <c r="O75" s="467" t="n"/>
      <c r="P75" s="467" t="n"/>
      <c r="Q75" s="467" t="n"/>
      <c r="R75" s="467" t="n"/>
      <c r="S75" s="467" t="n"/>
      <c r="T75" s="467" t="n"/>
      <c r="U75" s="467" t="n"/>
      <c r="V75" s="467" t="n"/>
      <c r="W75" s="467" t="n"/>
      <c r="X75" s="467" t="n"/>
      <c r="Y75" s="467" t="n"/>
      <c r="Z75" s="467" t="n"/>
      <c r="AA75" s="467" t="n"/>
      <c r="AB75" s="467" t="n"/>
      <c r="AC75" s="467" t="n"/>
      <c r="AD75" s="467" t="n"/>
      <c r="AE75" s="467" t="n"/>
      <c r="AF75" s="467" t="n"/>
      <c r="AG75" s="467" t="n"/>
      <c r="AH75" s="467" t="n"/>
      <c r="AI75" s="467" t="n"/>
      <c r="AJ75" s="50">
        <f>SUM(E75:AI75)</f>
        <v/>
      </c>
      <c r="AK75" s="50">
        <f>AJ75*D75</f>
        <v/>
      </c>
    </row>
    <row r="76" ht="50" customHeight="1">
      <c r="A76" s="482" t="inlineStr">
        <is>
          <t>2. ร่วมทีมตรวจเยี่ยม/รับการตรวจ ( นิเทศ HA/QA/Risk/5ส ฯลฯ)</t>
        </is>
      </c>
      <c r="B76" s="14" t="inlineStr">
        <is>
          <t>ครั้ง</t>
        </is>
      </c>
      <c r="C76" s="14" t="inlineStr">
        <is>
          <t>เหมา</t>
        </is>
      </c>
      <c r="D76" s="14" t="n">
        <v>4.26</v>
      </c>
      <c r="E76" s="468" t="n"/>
      <c r="F76" s="468" t="n"/>
      <c r="G76" s="468" t="n"/>
      <c r="H76" s="468" t="n"/>
      <c r="I76" s="468" t="n"/>
      <c r="J76" s="468" t="n"/>
      <c r="K76" s="468" t="n"/>
      <c r="L76" s="468" t="n"/>
      <c r="M76" s="468" t="n"/>
      <c r="N76" s="468" t="n"/>
      <c r="O76" s="468" t="n"/>
      <c r="P76" s="468" t="n"/>
      <c r="Q76" s="468" t="n"/>
      <c r="R76" s="468" t="n"/>
      <c r="S76" s="468" t="n"/>
      <c r="T76" s="468" t="n"/>
      <c r="U76" s="468" t="n"/>
      <c r="V76" s="468" t="n"/>
      <c r="W76" s="468" t="n"/>
      <c r="X76" s="468" t="n"/>
      <c r="Y76" s="468" t="n"/>
      <c r="Z76" s="468" t="n"/>
      <c r="AA76" s="468" t="n"/>
      <c r="AB76" s="468" t="n"/>
      <c r="AC76" s="468" t="n"/>
      <c r="AD76" s="468" t="n"/>
      <c r="AE76" s="468" t="n"/>
      <c r="AF76" s="468" t="n"/>
      <c r="AG76" s="468" t="n"/>
      <c r="AH76" s="468" t="n"/>
      <c r="AI76" s="468" t="n"/>
      <c r="AJ76" s="50">
        <f>SUM(E76:AI76)</f>
        <v/>
      </c>
      <c r="AK76" s="50">
        <f>AJ76*D76</f>
        <v/>
      </c>
    </row>
    <row r="77" ht="25" customHeight="1">
      <c r="A77" s="132" t="inlineStr">
        <is>
          <t>3. เขียนใบขออนุมัติ/ส่งซ่อม</t>
        </is>
      </c>
      <c r="B77" s="72" t="inlineStr">
        <is>
          <t>ชุด</t>
        </is>
      </c>
      <c r="C77" s="123" t="inlineStr">
        <is>
          <t>เหมา</t>
        </is>
      </c>
      <c r="D77" s="86" t="n">
        <v>0.71</v>
      </c>
      <c r="E77" s="468" t="n"/>
      <c r="F77" s="468" t="n"/>
      <c r="G77" s="468" t="n"/>
      <c r="H77" s="468" t="n"/>
      <c r="I77" s="468" t="n"/>
      <c r="J77" s="468" t="n"/>
      <c r="K77" s="468" t="n"/>
      <c r="L77" s="468" t="n"/>
      <c r="M77" s="468" t="n"/>
      <c r="N77" s="468" t="n"/>
      <c r="O77" s="468" t="n"/>
      <c r="P77" s="468" t="n"/>
      <c r="Q77" s="468" t="n"/>
      <c r="R77" s="468" t="n"/>
      <c r="S77" s="468" t="n"/>
      <c r="T77" s="468" t="n"/>
      <c r="U77" s="468" t="n"/>
      <c r="V77" s="468" t="n"/>
      <c r="W77" s="468" t="n"/>
      <c r="X77" s="468" t="n"/>
      <c r="Y77" s="468" t="n"/>
      <c r="Z77" s="468" t="n"/>
      <c r="AA77" s="468" t="n"/>
      <c r="AB77" s="468" t="n"/>
      <c r="AC77" s="468" t="n"/>
      <c r="AD77" s="468" t="n"/>
      <c r="AE77" s="468" t="n"/>
      <c r="AF77" s="468" t="n"/>
      <c r="AG77" s="468" t="n"/>
      <c r="AH77" s="468" t="n"/>
      <c r="AI77" s="468" t="n"/>
      <c r="AJ77" s="50">
        <f>SUM(E77:AI77)</f>
        <v/>
      </c>
      <c r="AK77" s="50">
        <f>AJ77*D77</f>
        <v/>
      </c>
    </row>
    <row r="78" ht="50" customHeight="1">
      <c r="A78" s="496" t="inlineStr">
        <is>
          <t xml:space="preserve">4. บันทึกข้อความซ่อมอุปกรณ์/เครื่องมือแพทย์ /บันทึกข้อความต่าง ๆ </t>
        </is>
      </c>
      <c r="B78" s="86" t="inlineStr">
        <is>
          <t xml:space="preserve">ครั้ง </t>
        </is>
      </c>
      <c r="C78" s="73" t="inlineStr">
        <is>
          <t>เหมา</t>
        </is>
      </c>
      <c r="D78" s="86" t="n">
        <v>0.71</v>
      </c>
      <c r="E78" s="468" t="n"/>
      <c r="F78" s="468" t="n"/>
      <c r="G78" s="468" t="n"/>
      <c r="H78" s="468" t="n"/>
      <c r="I78" s="468" t="n"/>
      <c r="J78" s="468" t="n"/>
      <c r="K78" s="468" t="n"/>
      <c r="L78" s="468" t="n"/>
      <c r="M78" s="468" t="n"/>
      <c r="N78" s="468" t="n"/>
      <c r="O78" s="468" t="n"/>
      <c r="P78" s="468" t="n"/>
      <c r="Q78" s="468" t="n"/>
      <c r="R78" s="468" t="n"/>
      <c r="S78" s="468" t="n"/>
      <c r="T78" s="468" t="n"/>
      <c r="U78" s="468" t="n"/>
      <c r="V78" s="468" t="n"/>
      <c r="W78" s="468" t="n"/>
      <c r="X78" s="468" t="n"/>
      <c r="Y78" s="468" t="n"/>
      <c r="Z78" s="468" t="n"/>
      <c r="AA78" s="468" t="n"/>
      <c r="AB78" s="468" t="n"/>
      <c r="AC78" s="468" t="n"/>
      <c r="AD78" s="468" t="n"/>
      <c r="AE78" s="468" t="n"/>
      <c r="AF78" s="468" t="n"/>
      <c r="AG78" s="468" t="n"/>
      <c r="AH78" s="468" t="n"/>
      <c r="AI78" s="468" t="n"/>
      <c r="AJ78" s="50">
        <f>SUM(E78:AI78)</f>
        <v/>
      </c>
      <c r="AK78" s="50">
        <f>AJ78*D78</f>
        <v/>
      </c>
    </row>
    <row r="79" ht="25" customHeight="1">
      <c r="A79" s="469" t="inlineStr">
        <is>
          <t>5. Admin ระบบ SPPH personnel</t>
        </is>
      </c>
      <c r="B79" s="27" t="inlineStr">
        <is>
          <t>เดือน</t>
        </is>
      </c>
      <c r="C79" s="73" t="inlineStr">
        <is>
          <t>เหมา</t>
        </is>
      </c>
      <c r="D79" s="14" t="n">
        <v>20</v>
      </c>
      <c r="E79" s="468" t="n"/>
      <c r="F79" s="468" t="n"/>
      <c r="G79" s="468" t="n"/>
      <c r="H79" s="468" t="n"/>
      <c r="I79" s="468" t="n"/>
      <c r="J79" s="468" t="n"/>
      <c r="K79" s="468" t="n"/>
      <c r="L79" s="468" t="n"/>
      <c r="M79" s="468" t="n"/>
      <c r="N79" s="468" t="n"/>
      <c r="O79" s="468" t="n"/>
      <c r="P79" s="468" t="n"/>
      <c r="Q79" s="468" t="n"/>
      <c r="R79" s="468" t="n"/>
      <c r="S79" s="468" t="n"/>
      <c r="T79" s="468" t="n"/>
      <c r="U79" s="468" t="n"/>
      <c r="V79" s="468" t="n"/>
      <c r="W79" s="468" t="n"/>
      <c r="X79" s="468" t="n"/>
      <c r="Y79" s="468" t="n"/>
      <c r="Z79" s="468" t="n"/>
      <c r="AA79" s="468" t="n"/>
      <c r="AB79" s="468" t="n"/>
      <c r="AC79" s="468" t="n"/>
      <c r="AD79" s="468" t="n"/>
      <c r="AE79" s="468" t="n"/>
      <c r="AF79" s="468" t="n"/>
      <c r="AG79" s="468" t="n"/>
      <c r="AH79" s="468" t="n"/>
      <c r="AI79" s="468" t="n"/>
      <c r="AJ79" s="50">
        <f>SUM(E79:AI79)</f>
        <v/>
      </c>
      <c r="AK79" s="50">
        <f>AJ79*D79</f>
        <v/>
      </c>
    </row>
    <row r="80" ht="25" customHeight="1">
      <c r="A80" s="469" t="inlineStr">
        <is>
          <t>6. Admin ระบบ smart conference</t>
        </is>
      </c>
      <c r="B80" s="27" t="inlineStr">
        <is>
          <t>เดือน</t>
        </is>
      </c>
      <c r="C80" s="73" t="inlineStr">
        <is>
          <t>เหมา</t>
        </is>
      </c>
      <c r="D80" s="14" t="n">
        <v>20</v>
      </c>
      <c r="E80" s="468" t="n"/>
      <c r="F80" s="468" t="n"/>
      <c r="G80" s="468" t="n"/>
      <c r="H80" s="468" t="n"/>
      <c r="I80" s="468" t="n"/>
      <c r="J80" s="468" t="n"/>
      <c r="K80" s="468" t="n"/>
      <c r="L80" s="468" t="n"/>
      <c r="M80" s="468" t="n"/>
      <c r="N80" s="468" t="n"/>
      <c r="O80" s="468" t="n"/>
      <c r="P80" s="468" t="n"/>
      <c r="Q80" s="468" t="n"/>
      <c r="R80" s="468" t="n"/>
      <c r="S80" s="468" t="n"/>
      <c r="T80" s="468" t="n"/>
      <c r="U80" s="468" t="n"/>
      <c r="V80" s="468" t="n"/>
      <c r="W80" s="468" t="n"/>
      <c r="X80" s="468" t="n"/>
      <c r="Y80" s="468" t="n"/>
      <c r="Z80" s="468" t="n"/>
      <c r="AA80" s="468" t="n"/>
      <c r="AB80" s="468" t="n"/>
      <c r="AC80" s="468" t="n"/>
      <c r="AD80" s="468" t="n"/>
      <c r="AE80" s="468" t="n"/>
      <c r="AF80" s="468" t="n"/>
      <c r="AG80" s="468" t="n"/>
      <c r="AH80" s="468" t="n"/>
      <c r="AI80" s="468" t="n"/>
      <c r="AJ80" s="50">
        <f>SUM(E80:AI80)</f>
        <v/>
      </c>
      <c r="AK80" s="50">
        <f>AJ80*D80</f>
        <v/>
      </c>
    </row>
    <row r="81" ht="25" customHeight="1">
      <c r="A81" s="469" t="inlineStr">
        <is>
          <t>7. Admin ระบบ P4P</t>
        </is>
      </c>
      <c r="B81" s="30" t="inlineStr">
        <is>
          <t>เดือน</t>
        </is>
      </c>
      <c r="C81" s="61" t="inlineStr">
        <is>
          <t>เหมา</t>
        </is>
      </c>
      <c r="D81" s="15" t="n">
        <v>20</v>
      </c>
      <c r="E81" s="459" t="n"/>
      <c r="F81" s="459" t="n"/>
      <c r="G81" s="459" t="n"/>
      <c r="H81" s="459" t="n"/>
      <c r="I81" s="459" t="n"/>
      <c r="J81" s="459" t="n"/>
      <c r="K81" s="459" t="n"/>
      <c r="L81" s="459" t="n"/>
      <c r="M81" s="459" t="n"/>
      <c r="N81" s="459" t="n"/>
      <c r="O81" s="459" t="n"/>
      <c r="P81" s="459" t="n"/>
      <c r="Q81" s="459" t="n"/>
      <c r="R81" s="459" t="n"/>
      <c r="S81" s="459" t="n"/>
      <c r="T81" s="459" t="n"/>
      <c r="U81" s="459" t="n"/>
      <c r="V81" s="459" t="n"/>
      <c r="W81" s="459" t="n"/>
      <c r="X81" s="459" t="n"/>
      <c r="Y81" s="459" t="n"/>
      <c r="Z81" s="459" t="n"/>
      <c r="AA81" s="459" t="n"/>
      <c r="AB81" s="459" t="n"/>
      <c r="AC81" s="459" t="n"/>
      <c r="AD81" s="459" t="n"/>
      <c r="AE81" s="459" t="n"/>
      <c r="AF81" s="459" t="n"/>
      <c r="AG81" s="459" t="n"/>
      <c r="AH81" s="459" t="n"/>
      <c r="AI81" s="459" t="n"/>
      <c r="AJ81" s="105">
        <f>SUM(E81:AI81)</f>
        <v/>
      </c>
      <c r="AK81" s="105">
        <f>AJ81*D81</f>
        <v/>
      </c>
    </row>
    <row r="82">
      <c r="A82" s="463" t="inlineStr">
        <is>
          <t>วิชาการ</t>
        </is>
      </c>
      <c r="B82" s="109" t="n"/>
      <c r="C82" s="110" t="n"/>
      <c r="D82" s="110" t="n"/>
      <c r="E82" s="464" t="n"/>
      <c r="F82" s="464" t="n"/>
      <c r="G82" s="464" t="n"/>
      <c r="H82" s="464" t="n"/>
      <c r="I82" s="464" t="n"/>
      <c r="J82" s="464" t="n"/>
      <c r="K82" s="464" t="n"/>
      <c r="L82" s="464" t="n"/>
      <c r="M82" s="464" t="n"/>
      <c r="N82" s="464" t="n"/>
      <c r="O82" s="464" t="n"/>
      <c r="P82" s="464" t="n"/>
      <c r="Q82" s="464" t="n"/>
      <c r="R82" s="464" t="n"/>
      <c r="S82" s="464" t="n"/>
      <c r="T82" s="464" t="n"/>
      <c r="U82" s="464" t="n"/>
      <c r="V82" s="464" t="n"/>
      <c r="W82" s="464" t="n"/>
      <c r="X82" s="464" t="n"/>
      <c r="Y82" s="464" t="n"/>
      <c r="Z82" s="464" t="n"/>
      <c r="AA82" s="464" t="n"/>
      <c r="AB82" s="464" t="n"/>
      <c r="AC82" s="464" t="n"/>
      <c r="AD82" s="464" t="n"/>
      <c r="AE82" s="464" t="n"/>
      <c r="AF82" s="464" t="n"/>
      <c r="AG82" s="464" t="n"/>
      <c r="AH82" s="464" t="n"/>
      <c r="AI82" s="464" t="n"/>
      <c r="AJ82" s="45" t="n"/>
      <c r="AK82" s="46" t="n"/>
    </row>
    <row r="83">
      <c r="A83" s="497" t="inlineStr">
        <is>
          <t>1. การนำเสนอผลงาน/ผู้ช่วยนำเสนอผลงาน (มีเอกสารประกอบ)</t>
        </is>
      </c>
      <c r="B83" s="92" t="inlineStr">
        <is>
          <t xml:space="preserve">ครั้ง </t>
        </is>
      </c>
      <c r="C83" s="92" t="inlineStr">
        <is>
          <t>เหมา</t>
        </is>
      </c>
      <c r="D83" s="92" t="n">
        <v>30</v>
      </c>
      <c r="E83" s="467" t="n"/>
      <c r="F83" s="467" t="n"/>
      <c r="G83" s="467" t="n"/>
      <c r="H83" s="467" t="n"/>
      <c r="I83" s="467" t="n"/>
      <c r="J83" s="467" t="n"/>
      <c r="K83" s="467" t="n"/>
      <c r="L83" s="467" t="n"/>
      <c r="M83" s="467" t="n"/>
      <c r="N83" s="467" t="n"/>
      <c r="O83" s="467" t="n"/>
      <c r="P83" s="467" t="n"/>
      <c r="Q83" s="467" t="n"/>
      <c r="R83" s="467" t="n"/>
      <c r="S83" s="467" t="n"/>
      <c r="T83" s="467" t="n"/>
      <c r="U83" s="467" t="n"/>
      <c r="V83" s="467" t="n"/>
      <c r="W83" s="467" t="n"/>
      <c r="X83" s="467" t="n"/>
      <c r="Y83" s="467" t="n"/>
      <c r="Z83" s="467" t="n"/>
      <c r="AA83" s="467" t="n"/>
      <c r="AB83" s="467" t="n"/>
      <c r="AC83" s="467" t="n"/>
      <c r="AD83" s="467" t="n"/>
      <c r="AE83" s="467" t="n"/>
      <c r="AF83" s="467" t="n"/>
      <c r="AG83" s="467" t="n"/>
      <c r="AH83" s="467" t="n"/>
      <c r="AI83" s="467" t="n"/>
      <c r="AJ83" s="50">
        <f>SUM(E83:AI83)</f>
        <v/>
      </c>
      <c r="AK83" s="50">
        <f>AJ83*D83</f>
        <v/>
      </c>
    </row>
    <row r="84" ht="25" customHeight="1">
      <c r="A84" s="498" t="inlineStr">
        <is>
          <t>2. การจัดทำ/ผู้ช่วยจัดทำคู่มือ แผ่นพับ</t>
        </is>
      </c>
      <c r="B84" s="27" t="inlineStr">
        <is>
          <t>เรื่อง</t>
        </is>
      </c>
      <c r="C84" s="28" t="inlineStr">
        <is>
          <t>เหมา</t>
        </is>
      </c>
      <c r="D84" s="27" t="n">
        <v>30</v>
      </c>
      <c r="E84" s="468" t="n"/>
      <c r="F84" s="468" t="n"/>
      <c r="G84" s="468" t="n"/>
      <c r="H84" s="468" t="n"/>
      <c r="I84" s="468" t="n"/>
      <c r="J84" s="468" t="n"/>
      <c r="K84" s="468" t="n"/>
      <c r="L84" s="468" t="n"/>
      <c r="M84" s="468" t="n"/>
      <c r="N84" s="468" t="n"/>
      <c r="O84" s="468" t="n"/>
      <c r="P84" s="468" t="n"/>
      <c r="Q84" s="468" t="n"/>
      <c r="R84" s="468" t="n"/>
      <c r="S84" s="468" t="n"/>
      <c r="T84" s="468" t="n"/>
      <c r="U84" s="468" t="n"/>
      <c r="V84" s="468" t="n"/>
      <c r="W84" s="468" t="n"/>
      <c r="X84" s="468" t="n"/>
      <c r="Y84" s="468" t="n"/>
      <c r="Z84" s="468" t="n"/>
      <c r="AA84" s="468" t="n"/>
      <c r="AB84" s="468" t="n"/>
      <c r="AC84" s="468" t="n"/>
      <c r="AD84" s="468" t="n"/>
      <c r="AE84" s="468" t="n"/>
      <c r="AF84" s="468" t="n"/>
      <c r="AG84" s="468" t="n"/>
      <c r="AH84" s="468" t="n"/>
      <c r="AI84" s="468" t="n"/>
      <c r="AJ84" s="50">
        <f>SUM(E84:AI84)</f>
        <v/>
      </c>
      <c r="AK84" s="50">
        <f>AJ84*D84</f>
        <v/>
      </c>
    </row>
    <row r="85">
      <c r="A85" s="133" t="inlineStr">
        <is>
          <t>3.  การจัดทำ/ผู้ช่วยจัดทำเอกสารคุณภาพ/ CQI/ นวัตกรรม</t>
        </is>
      </c>
      <c r="B85" s="86" t="inlineStr">
        <is>
          <t>เรื่อง</t>
        </is>
      </c>
      <c r="C85" s="86" t="inlineStr">
        <is>
          <t>เหมา</t>
        </is>
      </c>
      <c r="D85" s="122" t="n">
        <v>30</v>
      </c>
      <c r="E85" s="468" t="n"/>
      <c r="F85" s="468" t="n"/>
      <c r="G85" s="468" t="n"/>
      <c r="H85" s="468" t="n"/>
      <c r="I85" s="468" t="n"/>
      <c r="J85" s="468" t="n"/>
      <c r="K85" s="468" t="n"/>
      <c r="L85" s="468" t="n"/>
      <c r="M85" s="468" t="n"/>
      <c r="N85" s="468" t="n"/>
      <c r="O85" s="468" t="n"/>
      <c r="P85" s="468" t="n"/>
      <c r="Q85" s="468" t="n"/>
      <c r="R85" s="468" t="n"/>
      <c r="S85" s="468" t="n"/>
      <c r="T85" s="468" t="n"/>
      <c r="U85" s="468" t="n"/>
      <c r="V85" s="468" t="n"/>
      <c r="W85" s="468" t="n"/>
      <c r="X85" s="468" t="n"/>
      <c r="Y85" s="468" t="n"/>
      <c r="Z85" s="468" t="n"/>
      <c r="AA85" s="468" t="n"/>
      <c r="AB85" s="468" t="n"/>
      <c r="AC85" s="468" t="n"/>
      <c r="AD85" s="468" t="n"/>
      <c r="AE85" s="468" t="n"/>
      <c r="AF85" s="468" t="n"/>
      <c r="AG85" s="468" t="n"/>
      <c r="AH85" s="468" t="n"/>
      <c r="AI85" s="468" t="n"/>
      <c r="AJ85" s="50">
        <f>SUM(E85:AI85)</f>
        <v/>
      </c>
      <c r="AK85" s="50">
        <f>AJ85*D85</f>
        <v/>
      </c>
    </row>
    <row r="86" ht="25" customHeight="1">
      <c r="A86" s="132" t="inlineStr">
        <is>
          <t>4. การนิทศพนักงานใหม่</t>
        </is>
      </c>
      <c r="B86" s="73" t="inlineStr">
        <is>
          <t xml:space="preserve">ครั้ง </t>
        </is>
      </c>
      <c r="C86" s="86" t="inlineStr">
        <is>
          <t>เหมา</t>
        </is>
      </c>
      <c r="D86" s="86" t="n">
        <v>8.52</v>
      </c>
      <c r="E86" s="468" t="n"/>
      <c r="F86" s="468" t="n"/>
      <c r="G86" s="468" t="n"/>
      <c r="H86" s="468" t="n"/>
      <c r="I86" s="468" t="n"/>
      <c r="J86" s="468" t="n"/>
      <c r="K86" s="468" t="n"/>
      <c r="L86" s="468" t="n"/>
      <c r="M86" s="468" t="n"/>
      <c r="N86" s="468" t="n"/>
      <c r="O86" s="468" t="n"/>
      <c r="P86" s="468" t="n"/>
      <c r="Q86" s="468" t="n"/>
      <c r="R86" s="468" t="n"/>
      <c r="S86" s="468" t="n"/>
      <c r="T86" s="468" t="n"/>
      <c r="U86" s="468" t="n"/>
      <c r="V86" s="468" t="n"/>
      <c r="W86" s="468" t="n"/>
      <c r="X86" s="468" t="n"/>
      <c r="Y86" s="468" t="n"/>
      <c r="Z86" s="468" t="n"/>
      <c r="AA86" s="468" t="n"/>
      <c r="AB86" s="468" t="n"/>
      <c r="AC86" s="468" t="n"/>
      <c r="AD86" s="468" t="n"/>
      <c r="AE86" s="468" t="n"/>
      <c r="AF86" s="468" t="n"/>
      <c r="AG86" s="468" t="n"/>
      <c r="AH86" s="468" t="n"/>
      <c r="AI86" s="468" t="n"/>
      <c r="AJ86" s="50">
        <f>SUM(E86:AI86)</f>
        <v/>
      </c>
      <c r="AK86" s="50">
        <f>AJ86*D86</f>
        <v/>
      </c>
    </row>
    <row r="87" ht="25" customHeight="1">
      <c r="A87" s="132" t="inlineStr">
        <is>
          <t>5. ให้คำแนะนำนิสิตแพทย์</t>
        </is>
      </c>
      <c r="B87" s="73" t="inlineStr">
        <is>
          <t xml:space="preserve">ครั้ง </t>
        </is>
      </c>
      <c r="C87" s="86" t="inlineStr">
        <is>
          <t>เหมา</t>
        </is>
      </c>
      <c r="D87" s="86" t="n">
        <v>1.42</v>
      </c>
      <c r="E87" s="468" t="n"/>
      <c r="F87" s="468" t="n"/>
      <c r="G87" s="468" t="n"/>
      <c r="H87" s="468" t="n"/>
      <c r="I87" s="468" t="n"/>
      <c r="J87" s="468" t="n"/>
      <c r="K87" s="468" t="n"/>
      <c r="L87" s="468" t="n"/>
      <c r="M87" s="468" t="n"/>
      <c r="N87" s="468" t="n"/>
      <c r="O87" s="468" t="n"/>
      <c r="P87" s="468" t="n"/>
      <c r="Q87" s="468" t="n"/>
      <c r="R87" s="468" t="n"/>
      <c r="S87" s="468" t="n"/>
      <c r="T87" s="468" t="n"/>
      <c r="U87" s="468" t="n"/>
      <c r="V87" s="468" t="n"/>
      <c r="W87" s="468" t="n"/>
      <c r="X87" s="468" t="n"/>
      <c r="Y87" s="468" t="n"/>
      <c r="Z87" s="468" t="n"/>
      <c r="AA87" s="468" t="n"/>
      <c r="AB87" s="468" t="n"/>
      <c r="AC87" s="468" t="n"/>
      <c r="AD87" s="468" t="n"/>
      <c r="AE87" s="468" t="n"/>
      <c r="AF87" s="468" t="n"/>
      <c r="AG87" s="468" t="n"/>
      <c r="AH87" s="468" t="n"/>
      <c r="AI87" s="468" t="n"/>
      <c r="AJ87" s="50">
        <f>SUM(E87:AI87)</f>
        <v/>
      </c>
      <c r="AK87" s="50">
        <f>AJ87*D87</f>
        <v/>
      </c>
    </row>
    <row r="88" ht="25" customHeight="1">
      <c r="A88" s="132" t="inlineStr">
        <is>
          <t>6. นิเทศนักศึกษา /รับผู้ศึกษาดูงาน/ Orientate</t>
        </is>
      </c>
      <c r="B88" s="73" t="inlineStr">
        <is>
          <t xml:space="preserve">ครั้ง </t>
        </is>
      </c>
      <c r="C88" s="86" t="inlineStr">
        <is>
          <t>เหมา</t>
        </is>
      </c>
      <c r="D88" s="86" t="n">
        <v>4.26</v>
      </c>
      <c r="E88" s="468" t="n"/>
      <c r="F88" s="468" t="n"/>
      <c r="G88" s="468" t="n"/>
      <c r="H88" s="468" t="n"/>
      <c r="I88" s="468" t="n"/>
      <c r="J88" s="468" t="n"/>
      <c r="K88" s="468" t="n"/>
      <c r="L88" s="468" t="n"/>
      <c r="M88" s="468" t="n"/>
      <c r="N88" s="468" t="n"/>
      <c r="O88" s="468" t="n"/>
      <c r="P88" s="468" t="n"/>
      <c r="Q88" s="468" t="n"/>
      <c r="R88" s="468" t="n"/>
      <c r="S88" s="468" t="n"/>
      <c r="T88" s="468" t="n"/>
      <c r="U88" s="468" t="n"/>
      <c r="V88" s="468" t="n"/>
      <c r="W88" s="468" t="n"/>
      <c r="X88" s="468" t="n"/>
      <c r="Y88" s="468" t="n"/>
      <c r="Z88" s="468" t="n"/>
      <c r="AA88" s="468" t="n"/>
      <c r="AB88" s="468" t="n"/>
      <c r="AC88" s="468" t="n"/>
      <c r="AD88" s="468" t="n"/>
      <c r="AE88" s="468" t="n"/>
      <c r="AF88" s="468" t="n"/>
      <c r="AG88" s="468" t="n"/>
      <c r="AH88" s="468" t="n"/>
      <c r="AI88" s="468" t="n"/>
      <c r="AJ88" s="50">
        <f>SUM(E88:AI88)</f>
        <v/>
      </c>
      <c r="AK88" s="50">
        <f>AJ88*D88</f>
        <v/>
      </c>
    </row>
    <row r="89" ht="25" customHeight="1">
      <c r="A89" s="133" t="inlineStr">
        <is>
          <t>7. รับผู้ศึกษาดูงาน (ตามที่ได้รับมอบหมาย)</t>
        </is>
      </c>
      <c r="B89" s="135" t="inlineStr">
        <is>
          <t xml:space="preserve">ครั้ง </t>
        </is>
      </c>
      <c r="C89" s="60" t="inlineStr">
        <is>
          <t>เหมา</t>
        </is>
      </c>
      <c r="D89" s="60" t="n">
        <v>4.26</v>
      </c>
      <c r="E89" s="459" t="n"/>
      <c r="F89" s="459" t="n"/>
      <c r="G89" s="459" t="n"/>
      <c r="H89" s="459" t="n"/>
      <c r="I89" s="459" t="n"/>
      <c r="J89" s="459" t="n"/>
      <c r="K89" s="459" t="n"/>
      <c r="L89" s="459" t="n"/>
      <c r="M89" s="459" t="n"/>
      <c r="N89" s="459" t="n"/>
      <c r="O89" s="459" t="n"/>
      <c r="P89" s="459" t="n"/>
      <c r="Q89" s="459" t="n"/>
      <c r="R89" s="459" t="n"/>
      <c r="S89" s="459" t="n"/>
      <c r="T89" s="459" t="n"/>
      <c r="U89" s="459" t="n"/>
      <c r="V89" s="459" t="n"/>
      <c r="W89" s="459" t="n"/>
      <c r="X89" s="459" t="n"/>
      <c r="Y89" s="459" t="n"/>
      <c r="Z89" s="459" t="n"/>
      <c r="AA89" s="459" t="n"/>
      <c r="AB89" s="459" t="n"/>
      <c r="AC89" s="459" t="n"/>
      <c r="AD89" s="459" t="n"/>
      <c r="AE89" s="459" t="n"/>
      <c r="AF89" s="459" t="n"/>
      <c r="AG89" s="459" t="n"/>
      <c r="AH89" s="459" t="n"/>
      <c r="AI89" s="459" t="n"/>
      <c r="AJ89" s="105">
        <f>SUM(E89:AI89)</f>
        <v/>
      </c>
      <c r="AK89" s="105">
        <f>AJ89*D89</f>
        <v/>
      </c>
    </row>
    <row r="90">
      <c r="A90" s="499" t="inlineStr">
        <is>
          <t>8. เป็นวิทยากรใน / นอกโรงพยาบาล</t>
        </is>
      </c>
      <c r="B90" s="137" t="n"/>
      <c r="C90" s="138" t="n"/>
      <c r="D90" s="138" t="n"/>
      <c r="E90" s="464" t="n"/>
      <c r="F90" s="464" t="n"/>
      <c r="G90" s="464" t="n"/>
      <c r="H90" s="464" t="n"/>
      <c r="I90" s="464" t="n"/>
      <c r="J90" s="464" t="n"/>
      <c r="K90" s="464" t="n"/>
      <c r="L90" s="464" t="n"/>
      <c r="M90" s="464" t="n"/>
      <c r="N90" s="464" t="n"/>
      <c r="O90" s="464" t="n"/>
      <c r="P90" s="464" t="n"/>
      <c r="Q90" s="464" t="n"/>
      <c r="R90" s="464" t="n"/>
      <c r="S90" s="464" t="n"/>
      <c r="T90" s="464" t="n"/>
      <c r="U90" s="464" t="n"/>
      <c r="V90" s="464" t="n"/>
      <c r="W90" s="464" t="n"/>
      <c r="X90" s="464" t="n"/>
      <c r="Y90" s="464" t="n"/>
      <c r="Z90" s="464" t="n"/>
      <c r="AA90" s="464" t="n"/>
      <c r="AB90" s="464" t="n"/>
      <c r="AC90" s="464" t="n"/>
      <c r="AD90" s="464" t="n"/>
      <c r="AE90" s="464" t="n"/>
      <c r="AF90" s="464" t="n"/>
      <c r="AG90" s="464" t="n"/>
      <c r="AH90" s="464" t="n"/>
      <c r="AI90" s="464" t="n"/>
      <c r="AJ90" s="45" t="n"/>
      <c r="AK90" s="46" t="n"/>
    </row>
    <row r="91" ht="25" customHeight="1">
      <c r="A91" s="136" t="inlineStr">
        <is>
          <t xml:space="preserve">    -  วิทยากร </t>
        </is>
      </c>
      <c r="B91" s="92" t="inlineStr">
        <is>
          <t xml:space="preserve">ครั้ง </t>
        </is>
      </c>
      <c r="C91" s="71" t="inlineStr">
        <is>
          <t>เหมา</t>
        </is>
      </c>
      <c r="D91" s="71" t="n">
        <v>30</v>
      </c>
      <c r="E91" s="467" t="n"/>
      <c r="F91" s="467" t="n"/>
      <c r="G91" s="467" t="n"/>
      <c r="H91" s="467" t="n"/>
      <c r="I91" s="467" t="n"/>
      <c r="J91" s="467" t="n"/>
      <c r="K91" s="467" t="n"/>
      <c r="L91" s="467" t="n"/>
      <c r="M91" s="467" t="n"/>
      <c r="N91" s="467" t="n"/>
      <c r="O91" s="467" t="n"/>
      <c r="P91" s="467" t="n"/>
      <c r="Q91" s="467" t="n"/>
      <c r="R91" s="467" t="n"/>
      <c r="S91" s="467" t="n"/>
      <c r="T91" s="467" t="n"/>
      <c r="U91" s="467" t="n"/>
      <c r="V91" s="467" t="n"/>
      <c r="W91" s="467" t="n"/>
      <c r="X91" s="467" t="n"/>
      <c r="Y91" s="467" t="n"/>
      <c r="Z91" s="467" t="n"/>
      <c r="AA91" s="467" t="n"/>
      <c r="AB91" s="467" t="n"/>
      <c r="AC91" s="467" t="n"/>
      <c r="AD91" s="467" t="n"/>
      <c r="AE91" s="467" t="n"/>
      <c r="AF91" s="467" t="n"/>
      <c r="AG91" s="467" t="n"/>
      <c r="AH91" s="467" t="n"/>
      <c r="AI91" s="467" t="n"/>
      <c r="AJ91" s="50">
        <f>SUM(E91:AI91)</f>
        <v/>
      </c>
      <c r="AK91" s="50">
        <f>AJ91*D91</f>
        <v/>
      </c>
    </row>
    <row r="92" ht="25" customHeight="1">
      <c r="A92" s="136" t="inlineStr">
        <is>
          <t xml:space="preserve">    -  ผู้ช่วยวิทยากร </t>
        </is>
      </c>
      <c r="B92" s="86" t="inlineStr">
        <is>
          <t xml:space="preserve">ครั้ง </t>
        </is>
      </c>
      <c r="C92" s="73" t="inlineStr">
        <is>
          <t>เหมา</t>
        </is>
      </c>
      <c r="D92" s="73" t="n">
        <v>15</v>
      </c>
      <c r="E92" s="468" t="n"/>
      <c r="F92" s="468" t="n"/>
      <c r="G92" s="468" t="n"/>
      <c r="H92" s="468" t="n"/>
      <c r="I92" s="468" t="n"/>
      <c r="J92" s="468" t="n"/>
      <c r="K92" s="468" t="n"/>
      <c r="L92" s="468" t="n"/>
      <c r="M92" s="468" t="n"/>
      <c r="N92" s="468" t="n"/>
      <c r="O92" s="468" t="n"/>
      <c r="P92" s="468" t="n"/>
      <c r="Q92" s="468" t="n"/>
      <c r="R92" s="468" t="n"/>
      <c r="S92" s="468" t="n"/>
      <c r="T92" s="468" t="n"/>
      <c r="U92" s="468" t="n"/>
      <c r="V92" s="468" t="n"/>
      <c r="W92" s="468" t="n"/>
      <c r="X92" s="468" t="n"/>
      <c r="Y92" s="468" t="n"/>
      <c r="Z92" s="468" t="n"/>
      <c r="AA92" s="468" t="n"/>
      <c r="AB92" s="468" t="n"/>
      <c r="AC92" s="468" t="n"/>
      <c r="AD92" s="468" t="n"/>
      <c r="AE92" s="468" t="n"/>
      <c r="AF92" s="468" t="n"/>
      <c r="AG92" s="468" t="n"/>
      <c r="AH92" s="468" t="n"/>
      <c r="AI92" s="468" t="n"/>
      <c r="AJ92" s="50">
        <f>SUM(E92:AI92)</f>
        <v/>
      </c>
      <c r="AK92" s="50">
        <f>AJ92*D92</f>
        <v/>
      </c>
    </row>
    <row r="93" ht="25" customHeight="1">
      <c r="A93" s="136" t="inlineStr">
        <is>
          <t xml:space="preserve">   -  บรรยายวิชาการนอกหน่วยงาน</t>
        </is>
      </c>
      <c r="B93" s="86" t="inlineStr">
        <is>
          <t xml:space="preserve">ครั้ง </t>
        </is>
      </c>
      <c r="C93" s="73" t="inlineStr">
        <is>
          <t>เหมา</t>
        </is>
      </c>
      <c r="D93" s="73" t="n">
        <v>30</v>
      </c>
      <c r="E93" s="468" t="n"/>
      <c r="F93" s="468" t="n"/>
      <c r="G93" s="468" t="n"/>
      <c r="H93" s="468" t="n"/>
      <c r="I93" s="468" t="n"/>
      <c r="J93" s="468" t="n"/>
      <c r="K93" s="468" t="n"/>
      <c r="L93" s="468" t="n"/>
      <c r="M93" s="468" t="n"/>
      <c r="N93" s="468" t="n"/>
      <c r="O93" s="468" t="n"/>
      <c r="P93" s="468" t="n"/>
      <c r="Q93" s="468" t="n"/>
      <c r="R93" s="468" t="n"/>
      <c r="S93" s="468" t="n"/>
      <c r="T93" s="468" t="n"/>
      <c r="U93" s="468" t="n"/>
      <c r="V93" s="468" t="n"/>
      <c r="W93" s="468" t="n"/>
      <c r="X93" s="468" t="n"/>
      <c r="Y93" s="468" t="n"/>
      <c r="Z93" s="468" t="n"/>
      <c r="AA93" s="468" t="n"/>
      <c r="AB93" s="468" t="n"/>
      <c r="AC93" s="468" t="n"/>
      <c r="AD93" s="468" t="n"/>
      <c r="AE93" s="468" t="n"/>
      <c r="AF93" s="468" t="n"/>
      <c r="AG93" s="468" t="n"/>
      <c r="AH93" s="468" t="n"/>
      <c r="AI93" s="468" t="n"/>
      <c r="AJ93" s="50">
        <f>SUM(E93:AI93)</f>
        <v/>
      </c>
      <c r="AK93" s="50">
        <f>AJ93*D93</f>
        <v/>
      </c>
    </row>
    <row r="94" ht="25" customHeight="1">
      <c r="A94" s="136" t="inlineStr">
        <is>
          <t xml:space="preserve">   -  เป็นพิธีกร </t>
        </is>
      </c>
      <c r="B94" s="86" t="inlineStr">
        <is>
          <t xml:space="preserve">ครั้ง </t>
        </is>
      </c>
      <c r="C94" s="73" t="inlineStr">
        <is>
          <t>เหมา</t>
        </is>
      </c>
      <c r="D94" s="73" t="n">
        <v>30</v>
      </c>
      <c r="E94" s="468" t="n"/>
      <c r="F94" s="468" t="n"/>
      <c r="G94" s="468" t="n"/>
      <c r="H94" s="468" t="n"/>
      <c r="I94" s="468" t="n"/>
      <c r="J94" s="468" t="n"/>
      <c r="K94" s="468" t="n"/>
      <c r="L94" s="468" t="n"/>
      <c r="M94" s="468" t="n"/>
      <c r="N94" s="468" t="n"/>
      <c r="O94" s="468" t="n"/>
      <c r="P94" s="468" t="n"/>
      <c r="Q94" s="468" t="n"/>
      <c r="R94" s="468" t="n"/>
      <c r="S94" s="468" t="n"/>
      <c r="T94" s="468" t="n"/>
      <c r="U94" s="468" t="n"/>
      <c r="V94" s="468" t="n"/>
      <c r="W94" s="468" t="n"/>
      <c r="X94" s="468" t="n"/>
      <c r="Y94" s="468" t="n"/>
      <c r="Z94" s="468" t="n"/>
      <c r="AA94" s="468" t="n"/>
      <c r="AB94" s="468" t="n"/>
      <c r="AC94" s="468" t="n"/>
      <c r="AD94" s="468" t="n"/>
      <c r="AE94" s="468" t="n"/>
      <c r="AF94" s="468" t="n"/>
      <c r="AG94" s="468" t="n"/>
      <c r="AH94" s="468" t="n"/>
      <c r="AI94" s="468" t="n"/>
      <c r="AJ94" s="50">
        <f>SUM(E94:AI94)</f>
        <v/>
      </c>
      <c r="AK94" s="50">
        <f>AJ94*D94</f>
        <v/>
      </c>
    </row>
    <row r="95" ht="25" customHeight="1">
      <c r="A95" s="133" t="inlineStr">
        <is>
          <t>9. C3 THER / 12 กิจกรรม / AAR</t>
        </is>
      </c>
      <c r="B95" s="86" t="inlineStr">
        <is>
          <t>ครั้ง</t>
        </is>
      </c>
      <c r="C95" s="72" t="inlineStr">
        <is>
          <t>เหมา</t>
        </is>
      </c>
      <c r="D95" s="86" t="n">
        <v>4.26</v>
      </c>
      <c r="E95" s="468" t="n"/>
      <c r="F95" s="468" t="n"/>
      <c r="G95" s="468" t="n"/>
      <c r="H95" s="468" t="n"/>
      <c r="I95" s="468" t="n"/>
      <c r="J95" s="468" t="n"/>
      <c r="K95" s="468" t="n"/>
      <c r="L95" s="468" t="n"/>
      <c r="M95" s="468" t="n"/>
      <c r="N95" s="468" t="n"/>
      <c r="O95" s="468" t="n"/>
      <c r="P95" s="468" t="n"/>
      <c r="Q95" s="468" t="n"/>
      <c r="R95" s="468" t="n"/>
      <c r="S95" s="468" t="n"/>
      <c r="T95" s="468" t="n"/>
      <c r="U95" s="468" t="n"/>
      <c r="V95" s="468" t="n"/>
      <c r="W95" s="468" t="n"/>
      <c r="X95" s="468" t="n"/>
      <c r="Y95" s="468" t="n"/>
      <c r="Z95" s="468" t="n"/>
      <c r="AA95" s="468" t="n"/>
      <c r="AB95" s="468" t="n"/>
      <c r="AC95" s="468" t="n"/>
      <c r="AD95" s="468" t="n"/>
      <c r="AE95" s="468" t="n"/>
      <c r="AF95" s="468" t="n"/>
      <c r="AG95" s="468" t="n"/>
      <c r="AH95" s="468" t="n"/>
      <c r="AI95" s="468" t="n"/>
      <c r="AJ95" s="50">
        <f>SUM(E95:AI95)</f>
        <v/>
      </c>
      <c r="AK95" s="50">
        <f>AJ95*D95</f>
        <v/>
      </c>
    </row>
    <row r="96" ht="25" customHeight="1">
      <c r="A96" s="501" t="inlineStr">
        <is>
          <t>บริการ</t>
        </is>
      </c>
      <c r="B96" s="790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110" t="n"/>
      <c r="N96" s="110" t="n"/>
      <c r="O96" s="110" t="n"/>
      <c r="P96" s="110" t="n"/>
      <c r="Q96" s="110" t="n"/>
      <c r="R96" s="110" t="n"/>
      <c r="S96" s="110" t="n"/>
      <c r="T96" s="110" t="n"/>
      <c r="U96" s="110" t="n"/>
      <c r="V96" s="110" t="n"/>
      <c r="W96" s="110" t="n"/>
      <c r="X96" s="110" t="n"/>
      <c r="Y96" s="110" t="n"/>
      <c r="Z96" s="110" t="n"/>
      <c r="AA96" s="110" t="n"/>
      <c r="AB96" s="110" t="n"/>
      <c r="AC96" s="110" t="n"/>
      <c r="AD96" s="110" t="n"/>
      <c r="AE96" s="110" t="n"/>
      <c r="AF96" s="110" t="n"/>
      <c r="AG96" s="110" t="n"/>
      <c r="AH96" s="110" t="n"/>
      <c r="AI96" s="110" t="n"/>
      <c r="AJ96" s="110" t="n"/>
      <c r="AK96" s="791" t="n"/>
    </row>
    <row r="97">
      <c r="A97" s="502" t="inlineStr">
        <is>
          <t>งานธุรการ</t>
        </is>
      </c>
      <c r="B97" s="503" t="n"/>
      <c r="C97" s="503" t="n"/>
      <c r="D97" s="503" t="n"/>
      <c r="E97" s="504" t="n"/>
      <c r="F97" s="505" t="n"/>
      <c r="G97" s="505" t="n"/>
      <c r="H97" s="505" t="n"/>
      <c r="I97" s="505" t="n"/>
      <c r="J97" s="505" t="n"/>
      <c r="K97" s="505" t="n"/>
      <c r="L97" s="505" t="n"/>
      <c r="M97" s="505" t="n"/>
      <c r="N97" s="505" t="n"/>
      <c r="O97" s="505" t="n"/>
      <c r="P97" s="505" t="n"/>
      <c r="Q97" s="505" t="n"/>
      <c r="R97" s="505" t="n"/>
      <c r="S97" s="505" t="n"/>
      <c r="T97" s="505" t="n"/>
      <c r="U97" s="505" t="n"/>
      <c r="V97" s="505" t="n"/>
      <c r="W97" s="505" t="n"/>
      <c r="X97" s="505" t="n"/>
      <c r="Y97" s="505" t="n"/>
      <c r="Z97" s="505" t="n"/>
      <c r="AA97" s="505" t="n"/>
      <c r="AB97" s="505" t="n"/>
      <c r="AC97" s="505" t="n"/>
      <c r="AD97" s="505" t="n"/>
      <c r="AE97" s="505" t="n"/>
      <c r="AF97" s="505" t="n"/>
      <c r="AG97" s="505" t="n"/>
      <c r="AH97" s="505" t="n"/>
      <c r="AI97" s="503" t="n"/>
      <c r="AJ97" s="506" t="n"/>
      <c r="AK97" s="507" t="n"/>
    </row>
    <row r="98">
      <c r="A98" s="341" t="inlineStr">
        <is>
          <t>1. ลงทะเบียนประชุม ตามที่ได้รับมอบหมาย</t>
        </is>
      </c>
      <c r="B98" s="351" t="inlineStr">
        <is>
          <t>ครั้ง</t>
        </is>
      </c>
      <c r="C98" s="508" t="n">
        <v>30</v>
      </c>
      <c r="D98" s="509">
        <f>C98*0.071</f>
        <v/>
      </c>
      <c r="E98" s="430" t="n"/>
      <c r="F98" s="421" t="n"/>
      <c r="G98" s="421" t="n"/>
      <c r="H98" s="421" t="n"/>
      <c r="I98" s="421" t="n"/>
      <c r="J98" s="421" t="n"/>
      <c r="K98" s="421" t="n"/>
      <c r="L98" s="421" t="n"/>
      <c r="M98" s="421" t="n"/>
      <c r="N98" s="421" t="n"/>
      <c r="O98" s="421" t="n"/>
      <c r="P98" s="421" t="n"/>
      <c r="Q98" s="421" t="n"/>
      <c r="R98" s="421" t="n"/>
      <c r="S98" s="421" t="n"/>
      <c r="T98" s="421" t="n"/>
      <c r="U98" s="421" t="n"/>
      <c r="V98" s="421" t="n"/>
      <c r="W98" s="421" t="n"/>
      <c r="X98" s="421" t="n"/>
      <c r="Y98" s="421" t="n"/>
      <c r="Z98" s="421" t="n"/>
      <c r="AA98" s="421" t="n"/>
      <c r="AB98" s="421" t="n"/>
      <c r="AC98" s="421" t="n"/>
      <c r="AD98" s="421" t="n"/>
      <c r="AE98" s="421" t="n"/>
      <c r="AF98" s="421" t="n"/>
      <c r="AG98" s="421" t="n"/>
      <c r="AH98" s="421" t="n"/>
      <c r="AI98" s="217" t="n"/>
      <c r="AJ98" s="422">
        <f>SUM(E98:AH98)</f>
        <v/>
      </c>
      <c r="AK98" s="153">
        <f>AJ98*D98</f>
        <v/>
      </c>
    </row>
    <row r="99">
      <c r="A99" s="346" t="inlineStr">
        <is>
          <t>2. การรับหนังสือ</t>
        </is>
      </c>
      <c r="B99" s="347" t="n"/>
      <c r="C99" s="348" t="n"/>
      <c r="D99" s="348" t="n"/>
      <c r="E99" s="427" t="n"/>
      <c r="F99" s="427" t="n"/>
      <c r="G99" s="427" t="n"/>
      <c r="H99" s="427" t="n"/>
      <c r="I99" s="427" t="n"/>
      <c r="J99" s="427" t="n"/>
      <c r="K99" s="427" t="n"/>
      <c r="L99" s="427" t="n"/>
      <c r="M99" s="427" t="n"/>
      <c r="N99" s="427" t="n"/>
      <c r="O99" s="427" t="n"/>
      <c r="P99" s="427" t="n"/>
      <c r="Q99" s="427" t="n"/>
      <c r="R99" s="427" t="n"/>
      <c r="S99" s="427" t="n"/>
      <c r="T99" s="427" t="n"/>
      <c r="U99" s="427" t="n"/>
      <c r="V99" s="427" t="n"/>
      <c r="W99" s="427" t="n"/>
      <c r="X99" s="427" t="n"/>
      <c r="Y99" s="427" t="n"/>
      <c r="Z99" s="427" t="n"/>
      <c r="AA99" s="427" t="n"/>
      <c r="AB99" s="427" t="n"/>
      <c r="AC99" s="427" t="n"/>
      <c r="AD99" s="427" t="n"/>
      <c r="AE99" s="427" t="n"/>
      <c r="AF99" s="427" t="n"/>
      <c r="AG99" s="427" t="n"/>
      <c r="AH99" s="427" t="n"/>
      <c r="AI99" s="427" t="n"/>
      <c r="AJ99" s="213" t="n"/>
      <c r="AK99" s="601" t="n"/>
    </row>
    <row r="100">
      <c r="A100" s="149" t="inlineStr">
        <is>
          <t>2.1 รับหนังสือภายในหน่วยงาน</t>
        </is>
      </c>
      <c r="B100" s="351" t="inlineStr">
        <is>
          <t>เรื่อง</t>
        </is>
      </c>
      <c r="C100" s="151" t="n">
        <v>3</v>
      </c>
      <c r="D100" s="510">
        <f>C100*0.071</f>
        <v/>
      </c>
      <c r="E100" s="217" t="n"/>
      <c r="F100" s="217" t="n"/>
      <c r="G100" s="217" t="n"/>
      <c r="H100" s="217" t="n"/>
      <c r="I100" s="217" t="n"/>
      <c r="J100" s="217" t="n"/>
      <c r="K100" s="217" t="n"/>
      <c r="L100" s="217" t="n"/>
      <c r="M100" s="217" t="n"/>
      <c r="N100" s="217" t="n"/>
      <c r="O100" s="217" t="n"/>
      <c r="P100" s="217" t="n"/>
      <c r="Q100" s="217" t="n"/>
      <c r="R100" s="217" t="n"/>
      <c r="S100" s="217" t="n"/>
      <c r="T100" s="217" t="n"/>
      <c r="U100" s="217" t="n"/>
      <c r="V100" s="217" t="n"/>
      <c r="W100" s="217" t="n"/>
      <c r="X100" s="217" t="n"/>
      <c r="Y100" s="217" t="n"/>
      <c r="Z100" s="217" t="n"/>
      <c r="AA100" s="217" t="n"/>
      <c r="AB100" s="217" t="n"/>
      <c r="AC100" s="217" t="n"/>
      <c r="AD100" s="217" t="n"/>
      <c r="AE100" s="217" t="n"/>
      <c r="AF100" s="217" t="n"/>
      <c r="AG100" s="217" t="n"/>
      <c r="AH100" s="217" t="n"/>
      <c r="AI100" s="217" t="n"/>
      <c r="AJ100" s="220">
        <f>SUM(E100:AH100)</f>
        <v/>
      </c>
      <c r="AK100" s="153">
        <f>AJ100*D100</f>
        <v/>
      </c>
    </row>
    <row r="101">
      <c r="A101" s="352" t="inlineStr">
        <is>
          <t>2.2 คัดแยกหนังสือ</t>
        </is>
      </c>
      <c r="B101" s="351" t="inlineStr">
        <is>
          <t>ฉบับ</t>
        </is>
      </c>
      <c r="C101" s="151" t="n">
        <v>3</v>
      </c>
      <c r="D101" s="510">
        <f>C101*0.071</f>
        <v/>
      </c>
      <c r="E101" s="217" t="n"/>
      <c r="F101" s="217" t="n"/>
      <c r="G101" s="217" t="n"/>
      <c r="H101" s="217" t="n"/>
      <c r="I101" s="217" t="n"/>
      <c r="J101" s="217" t="n"/>
      <c r="K101" s="217" t="n"/>
      <c r="L101" s="217" t="n"/>
      <c r="M101" s="217" t="n"/>
      <c r="N101" s="217" t="n"/>
      <c r="O101" s="217" t="n"/>
      <c r="P101" s="217" t="n"/>
      <c r="Q101" s="217" t="n"/>
      <c r="R101" s="217" t="n"/>
      <c r="S101" s="217" t="n"/>
      <c r="T101" s="217" t="n"/>
      <c r="U101" s="217" t="n"/>
      <c r="V101" s="217" t="n"/>
      <c r="W101" s="217" t="n"/>
      <c r="X101" s="217" t="n"/>
      <c r="Y101" s="217" t="n"/>
      <c r="Z101" s="217" t="n"/>
      <c r="AA101" s="217" t="n"/>
      <c r="AB101" s="217" t="n"/>
      <c r="AC101" s="217" t="n"/>
      <c r="AD101" s="217" t="n"/>
      <c r="AE101" s="217" t="n"/>
      <c r="AF101" s="217" t="n"/>
      <c r="AG101" s="217" t="n"/>
      <c r="AH101" s="217" t="n"/>
      <c r="AI101" s="217" t="n"/>
      <c r="AJ101" s="220">
        <f>SUM(E101:AH101)</f>
        <v/>
      </c>
      <c r="AK101" s="153">
        <f>AJ101*D101</f>
        <v/>
      </c>
    </row>
    <row r="102">
      <c r="A102" s="149" t="inlineStr">
        <is>
          <t>2.3 จัดแฟ้มเสนอ</t>
        </is>
      </c>
      <c r="B102" s="351" t="inlineStr">
        <is>
          <t>ฉบับ</t>
        </is>
      </c>
      <c r="C102" s="151" t="n">
        <v>3</v>
      </c>
      <c r="D102" s="510">
        <f>C102*0.071</f>
        <v/>
      </c>
      <c r="E102" s="217" t="n"/>
      <c r="F102" s="217" t="n"/>
      <c r="G102" s="217" t="n"/>
      <c r="H102" s="217" t="n"/>
      <c r="I102" s="217" t="n"/>
      <c r="J102" s="217" t="n"/>
      <c r="K102" s="217" t="n"/>
      <c r="L102" s="217" t="n"/>
      <c r="M102" s="217" t="n"/>
      <c r="N102" s="217" t="n"/>
      <c r="O102" s="217" t="n"/>
      <c r="P102" s="217" t="n"/>
      <c r="Q102" s="217" t="n"/>
      <c r="R102" s="217" t="n"/>
      <c r="S102" s="217" t="n"/>
      <c r="T102" s="217" t="n"/>
      <c r="U102" s="217" t="n"/>
      <c r="V102" s="217" t="n"/>
      <c r="W102" s="217" t="n"/>
      <c r="X102" s="217" t="n"/>
      <c r="Y102" s="217" t="n"/>
      <c r="Z102" s="217" t="n"/>
      <c r="AA102" s="217" t="n"/>
      <c r="AB102" s="217" t="n"/>
      <c r="AC102" s="217" t="n"/>
      <c r="AD102" s="217" t="n"/>
      <c r="AE102" s="217" t="n"/>
      <c r="AF102" s="217" t="n"/>
      <c r="AG102" s="217" t="n"/>
      <c r="AH102" s="217" t="n"/>
      <c r="AI102" s="217" t="n"/>
      <c r="AJ102" s="220">
        <f>SUM(E102:AH102)</f>
        <v/>
      </c>
      <c r="AK102" s="153">
        <f>AJ102*D102</f>
        <v/>
      </c>
    </row>
    <row r="103">
      <c r="A103" s="149" t="inlineStr">
        <is>
          <t>2.4 เกษียนหนังสือ/เวียนหนังสือ</t>
        </is>
      </c>
      <c r="B103" s="351" t="inlineStr">
        <is>
          <t>เรื่อง</t>
        </is>
      </c>
      <c r="C103" s="151" t="n">
        <v>3</v>
      </c>
      <c r="D103" s="510">
        <f>C103*0.071</f>
        <v/>
      </c>
      <c r="E103" s="217" t="n"/>
      <c r="F103" s="217" t="n"/>
      <c r="G103" s="217" t="n"/>
      <c r="H103" s="217" t="n"/>
      <c r="I103" s="217" t="n"/>
      <c r="J103" s="217" t="n"/>
      <c r="K103" s="217" t="n"/>
      <c r="L103" s="217" t="n"/>
      <c r="M103" s="217" t="n"/>
      <c r="N103" s="217" t="n"/>
      <c r="O103" s="217" t="n"/>
      <c r="P103" s="217" t="n"/>
      <c r="Q103" s="217" t="n"/>
      <c r="R103" s="217" t="n"/>
      <c r="S103" s="217" t="n"/>
      <c r="T103" s="217" t="n"/>
      <c r="U103" s="217" t="n"/>
      <c r="V103" s="217" t="n"/>
      <c r="W103" s="217" t="n"/>
      <c r="X103" s="217" t="n"/>
      <c r="Y103" s="217" t="n"/>
      <c r="Z103" s="217" t="n"/>
      <c r="AA103" s="217" t="n"/>
      <c r="AB103" s="217" t="n"/>
      <c r="AC103" s="217" t="n"/>
      <c r="AD103" s="217" t="n"/>
      <c r="AE103" s="217" t="n"/>
      <c r="AF103" s="217" t="n"/>
      <c r="AG103" s="217" t="n"/>
      <c r="AH103" s="217" t="n"/>
      <c r="AI103" s="217" t="n"/>
      <c r="AJ103" s="220">
        <f>SUM(E103:AH103)</f>
        <v/>
      </c>
      <c r="AK103" s="153">
        <f>AJ103*D103</f>
        <v/>
      </c>
    </row>
    <row r="104">
      <c r="A104" s="149" t="inlineStr">
        <is>
          <t>2.5 แจกจ่ายหนังสือ</t>
        </is>
      </c>
      <c r="B104" s="351" t="inlineStr">
        <is>
          <t>ฉบับ</t>
        </is>
      </c>
      <c r="C104" s="151" t="n">
        <v>3</v>
      </c>
      <c r="D104" s="510">
        <f>C104*0.071</f>
        <v/>
      </c>
      <c r="E104" s="217" t="n"/>
      <c r="F104" s="217" t="n"/>
      <c r="G104" s="217" t="n"/>
      <c r="H104" s="217" t="n"/>
      <c r="I104" s="217" t="n"/>
      <c r="J104" s="217" t="n"/>
      <c r="K104" s="217" t="n"/>
      <c r="L104" s="217" t="n"/>
      <c r="M104" s="217" t="n"/>
      <c r="N104" s="217" t="n"/>
      <c r="O104" s="217" t="n"/>
      <c r="P104" s="217" t="n"/>
      <c r="Q104" s="217" t="n"/>
      <c r="R104" s="217" t="n"/>
      <c r="S104" s="217" t="n"/>
      <c r="T104" s="217" t="n"/>
      <c r="U104" s="217" t="n"/>
      <c r="V104" s="217" t="n"/>
      <c r="W104" s="217" t="n"/>
      <c r="X104" s="217" t="n"/>
      <c r="Y104" s="217" t="n"/>
      <c r="Z104" s="217" t="n"/>
      <c r="AA104" s="217" t="n"/>
      <c r="AB104" s="217" t="n"/>
      <c r="AC104" s="217" t="n"/>
      <c r="AD104" s="217" t="n"/>
      <c r="AE104" s="217" t="n"/>
      <c r="AF104" s="217" t="n"/>
      <c r="AG104" s="217" t="n"/>
      <c r="AH104" s="217" t="n"/>
      <c r="AI104" s="217" t="n"/>
      <c r="AJ104" s="220">
        <f>SUM(E104:AH104)</f>
        <v/>
      </c>
      <c r="AK104" s="153">
        <f>AJ104*D104</f>
        <v/>
      </c>
    </row>
    <row r="105">
      <c r="A105" s="353" t="inlineStr">
        <is>
          <t>2.6 การจัดการใบลาต่าง ๆ (จนสิ้นสุดกระบวนการ)</t>
        </is>
      </c>
      <c r="B105" s="511" t="inlineStr">
        <is>
          <t>ฉบับ</t>
        </is>
      </c>
      <c r="C105" s="512" t="n">
        <v>3</v>
      </c>
      <c r="D105" s="513">
        <f>C105*0.071</f>
        <v/>
      </c>
      <c r="E105" s="514" t="n"/>
      <c r="F105" s="514" t="n"/>
      <c r="G105" s="514" t="n"/>
      <c r="H105" s="514" t="n"/>
      <c r="I105" s="514" t="n"/>
      <c r="J105" s="514" t="n"/>
      <c r="K105" s="514" t="n"/>
      <c r="L105" s="514" t="n"/>
      <c r="M105" s="514" t="n"/>
      <c r="N105" s="514" t="n"/>
      <c r="O105" s="514" t="n"/>
      <c r="P105" s="514" t="n"/>
      <c r="Q105" s="514" t="n"/>
      <c r="R105" s="514" t="n"/>
      <c r="S105" s="514" t="n"/>
      <c r="T105" s="589" t="n"/>
      <c r="U105" s="514" t="n"/>
      <c r="V105" s="514" t="n"/>
      <c r="W105" s="514" t="n"/>
      <c r="X105" s="514" t="n"/>
      <c r="Y105" s="514" t="n"/>
      <c r="Z105" s="514" t="n"/>
      <c r="AA105" s="514" t="n"/>
      <c r="AB105" s="514" t="n"/>
      <c r="AC105" s="514" t="n"/>
      <c r="AD105" s="514" t="n"/>
      <c r="AE105" s="514" t="n"/>
      <c r="AF105" s="514" t="n"/>
      <c r="AG105" s="514" t="n"/>
      <c r="AH105" s="514" t="n"/>
      <c r="AI105" s="217" t="n"/>
      <c r="AJ105" s="422">
        <f>SUM(E105:AH105)</f>
        <v/>
      </c>
      <c r="AK105" s="345">
        <f>AJ105*D105</f>
        <v/>
      </c>
    </row>
    <row r="106">
      <c r="A106" s="516" t="inlineStr">
        <is>
          <t>3. การส่งหนังสือ</t>
        </is>
      </c>
      <c r="B106" s="64" t="n"/>
      <c r="C106" s="65" t="n"/>
      <c r="D106" s="65" t="n"/>
      <c r="E106" s="517" t="n"/>
      <c r="F106" s="517" t="n"/>
      <c r="G106" s="517" t="n"/>
      <c r="H106" s="517" t="n"/>
      <c r="I106" s="517" t="n"/>
      <c r="J106" s="517" t="n"/>
      <c r="K106" s="517" t="n"/>
      <c r="L106" s="517" t="n"/>
      <c r="M106" s="517" t="n"/>
      <c r="N106" s="517" t="n"/>
      <c r="O106" s="517" t="n"/>
      <c r="P106" s="517" t="n"/>
      <c r="Q106" s="517" t="n"/>
      <c r="R106" s="517" t="n"/>
      <c r="S106" s="517" t="n"/>
      <c r="T106" s="517" t="n"/>
      <c r="U106" s="517" t="n"/>
      <c r="V106" s="517" t="n"/>
      <c r="W106" s="517" t="n"/>
      <c r="X106" s="517" t="n"/>
      <c r="Y106" s="517" t="n"/>
      <c r="Z106" s="517" t="n"/>
      <c r="AA106" s="517" t="n"/>
      <c r="AB106" s="517" t="n"/>
      <c r="AC106" s="517" t="n"/>
      <c r="AD106" s="517" t="n"/>
      <c r="AE106" s="517" t="n"/>
      <c r="AF106" s="517" t="n"/>
      <c r="AG106" s="517" t="n"/>
      <c r="AH106" s="517" t="n"/>
      <c r="AI106" s="427" t="n"/>
      <c r="AJ106" s="590" t="n"/>
      <c r="AK106" s="602" t="n"/>
    </row>
    <row r="107">
      <c r="A107" s="149" t="inlineStr">
        <is>
          <t>3.1 การขอออกเลขส่งหนังสือ</t>
        </is>
      </c>
      <c r="B107" s="344" t="inlineStr">
        <is>
          <t>ฉบับ</t>
        </is>
      </c>
      <c r="C107" s="343" t="n">
        <v>5</v>
      </c>
      <c r="D107" s="510">
        <f>C107*0.071</f>
        <v/>
      </c>
      <c r="E107" s="421" t="n"/>
      <c r="F107" s="421" t="n"/>
      <c r="G107" s="421" t="n"/>
      <c r="H107" s="421" t="n"/>
      <c r="I107" s="421" t="n"/>
      <c r="J107" s="421" t="n"/>
      <c r="K107" s="421" t="n"/>
      <c r="L107" s="421" t="n"/>
      <c r="M107" s="421" t="n"/>
      <c r="N107" s="421" t="n"/>
      <c r="O107" s="421" t="n"/>
      <c r="P107" s="421" t="n"/>
      <c r="Q107" s="421" t="n"/>
      <c r="R107" s="421" t="n"/>
      <c r="S107" s="421" t="n"/>
      <c r="T107" s="421" t="n"/>
      <c r="U107" s="421" t="n"/>
      <c r="V107" s="421" t="n"/>
      <c r="W107" s="421" t="n"/>
      <c r="X107" s="421" t="n"/>
      <c r="Y107" s="421" t="n"/>
      <c r="Z107" s="421" t="n"/>
      <c r="AA107" s="421" t="n"/>
      <c r="AB107" s="421" t="n"/>
      <c r="AC107" s="421" t="n"/>
      <c r="AD107" s="421" t="n"/>
      <c r="AE107" s="421" t="n"/>
      <c r="AF107" s="421" t="n"/>
      <c r="AG107" s="421" t="n"/>
      <c r="AH107" s="421" t="n"/>
      <c r="AI107" s="217" t="n"/>
      <c r="AJ107" s="220">
        <f>SUM(E107:AH107)</f>
        <v/>
      </c>
      <c r="AK107" s="153">
        <f>AJ107*D107</f>
        <v/>
      </c>
    </row>
    <row r="108">
      <c r="A108" s="149" t="inlineStr">
        <is>
          <t>3.2 การส่งหนังสือระหว่างหน่วยงานภายใน รพ.ฯ</t>
        </is>
      </c>
      <c r="B108" s="150" t="inlineStr">
        <is>
          <t>เรื่อง</t>
        </is>
      </c>
      <c r="C108" s="151" t="n">
        <v>10</v>
      </c>
      <c r="D108" s="510">
        <f>C108*0.071</f>
        <v/>
      </c>
      <c r="E108" s="217" t="n"/>
      <c r="F108" s="217" t="n"/>
      <c r="G108" s="217" t="n"/>
      <c r="H108" s="217" t="n"/>
      <c r="I108" s="217" t="n"/>
      <c r="J108" s="217" t="n"/>
      <c r="K108" s="217" t="n"/>
      <c r="L108" s="217" t="n"/>
      <c r="M108" s="217" t="n"/>
      <c r="N108" s="217" t="n"/>
      <c r="O108" s="217" t="n"/>
      <c r="P108" s="217" t="n"/>
      <c r="Q108" s="217" t="n"/>
      <c r="R108" s="217" t="n"/>
      <c r="S108" s="217" t="n"/>
      <c r="T108" s="217" t="n"/>
      <c r="U108" s="217" t="n"/>
      <c r="V108" s="217" t="n"/>
      <c r="W108" s="217" t="n"/>
      <c r="X108" s="217" t="n"/>
      <c r="Y108" s="217" t="n"/>
      <c r="Z108" s="217" t="n"/>
      <c r="AA108" s="217" t="n"/>
      <c r="AB108" s="217" t="n"/>
      <c r="AC108" s="217" t="n"/>
      <c r="AD108" s="217" t="n"/>
      <c r="AE108" s="217" t="n"/>
      <c r="AF108" s="217" t="n"/>
      <c r="AG108" s="217" t="n"/>
      <c r="AH108" s="217" t="n"/>
      <c r="AI108" s="217" t="n"/>
      <c r="AJ108" s="220">
        <f>SUM(E108:AH108)</f>
        <v/>
      </c>
      <c r="AK108" s="153">
        <f>AJ108*D108</f>
        <v/>
      </c>
    </row>
    <row r="109">
      <c r="A109" s="149" t="inlineStr">
        <is>
          <t>3.3 การส่งหนังสือระหว่างหน่วยงานภายนอก รพ.ฯ</t>
        </is>
      </c>
      <c r="B109" s="515" t="inlineStr">
        <is>
          <t>เรื่อง</t>
        </is>
      </c>
      <c r="C109" s="512" t="n">
        <v>20</v>
      </c>
      <c r="D109" s="513">
        <f>C109*0.071</f>
        <v/>
      </c>
      <c r="E109" s="514" t="n"/>
      <c r="F109" s="514" t="n"/>
      <c r="G109" s="514" t="n"/>
      <c r="H109" s="514" t="n"/>
      <c r="I109" s="514" t="n"/>
      <c r="J109" s="514" t="n"/>
      <c r="K109" s="514" t="n"/>
      <c r="L109" s="514" t="n"/>
      <c r="M109" s="514" t="n"/>
      <c r="N109" s="514" t="n"/>
      <c r="O109" s="514" t="n"/>
      <c r="P109" s="514" t="n"/>
      <c r="Q109" s="514" t="n"/>
      <c r="R109" s="514" t="n"/>
      <c r="S109" s="514" t="n"/>
      <c r="T109" s="514" t="n"/>
      <c r="U109" s="514" t="n"/>
      <c r="V109" s="514" t="n"/>
      <c r="W109" s="514" t="n"/>
      <c r="X109" s="514" t="n"/>
      <c r="Y109" s="514" t="n"/>
      <c r="Z109" s="514" t="n"/>
      <c r="AA109" s="514" t="n"/>
      <c r="AB109" s="514" t="n"/>
      <c r="AC109" s="514" t="n"/>
      <c r="AD109" s="514" t="n"/>
      <c r="AE109" s="514" t="n"/>
      <c r="AF109" s="514" t="n"/>
      <c r="AG109" s="514" t="n"/>
      <c r="AH109" s="514" t="n"/>
      <c r="AI109" s="514" t="n"/>
      <c r="AJ109" s="422">
        <f>SUM(E109:AH109)</f>
        <v/>
      </c>
      <c r="AK109" s="345">
        <f>AJ109*D109</f>
        <v/>
      </c>
    </row>
    <row r="110">
      <c r="A110" s="516" t="inlineStr">
        <is>
          <t>4. การพิมพ์หนังสือ</t>
        </is>
      </c>
      <c r="B110" s="64" t="n"/>
      <c r="C110" s="65" t="n"/>
      <c r="D110" s="65" t="n"/>
      <c r="E110" s="517" t="n"/>
      <c r="F110" s="517" t="n"/>
      <c r="G110" s="517" t="n"/>
      <c r="H110" s="517" t="n"/>
      <c r="I110" s="517" t="n"/>
      <c r="J110" s="517" t="n"/>
      <c r="K110" s="517" t="n"/>
      <c r="L110" s="517" t="n"/>
      <c r="M110" s="517" t="n"/>
      <c r="N110" s="517" t="n"/>
      <c r="O110" s="517" t="n"/>
      <c r="P110" s="517" t="n"/>
      <c r="Q110" s="517" t="n"/>
      <c r="R110" s="517" t="n"/>
      <c r="S110" s="517" t="n"/>
      <c r="T110" s="517" t="n"/>
      <c r="U110" s="517" t="n"/>
      <c r="V110" s="517" t="n"/>
      <c r="W110" s="517" t="n"/>
      <c r="X110" s="517" t="n"/>
      <c r="Y110" s="517" t="n"/>
      <c r="Z110" s="517" t="n"/>
      <c r="AA110" s="517" t="n"/>
      <c r="AB110" s="517" t="n"/>
      <c r="AC110" s="517" t="n"/>
      <c r="AD110" s="517" t="n"/>
      <c r="AE110" s="517" t="n"/>
      <c r="AF110" s="517" t="n"/>
      <c r="AG110" s="517" t="n"/>
      <c r="AH110" s="517" t="n"/>
      <c r="AI110" s="591" t="n"/>
      <c r="AJ110" s="590" t="n"/>
      <c r="AK110" s="602" t="n"/>
    </row>
    <row r="111">
      <c r="A111" s="149" t="inlineStr">
        <is>
          <t>4.1 หนังสือภายใน</t>
        </is>
      </c>
      <c r="B111" s="354" t="inlineStr">
        <is>
          <t>เรื่อง</t>
        </is>
      </c>
      <c r="C111" s="343" t="n">
        <v>20</v>
      </c>
      <c r="D111" s="510">
        <f>C111*0.071</f>
        <v/>
      </c>
      <c r="E111" s="421" t="n"/>
      <c r="F111" s="421" t="n"/>
      <c r="G111" s="421" t="n"/>
      <c r="H111" s="421" t="n"/>
      <c r="I111" s="421" t="n"/>
      <c r="J111" s="421" t="n"/>
      <c r="K111" s="421" t="n"/>
      <c r="L111" s="421" t="n"/>
      <c r="M111" s="421" t="n"/>
      <c r="N111" s="421" t="n"/>
      <c r="O111" s="421" t="n"/>
      <c r="P111" s="421" t="n"/>
      <c r="Q111" s="421" t="n"/>
      <c r="R111" s="421" t="n"/>
      <c r="S111" s="421" t="n"/>
      <c r="T111" s="421" t="n"/>
      <c r="U111" s="421" t="n"/>
      <c r="V111" s="421" t="n"/>
      <c r="W111" s="421" t="n"/>
      <c r="X111" s="421" t="n"/>
      <c r="Y111" s="421" t="n"/>
      <c r="Z111" s="421" t="n"/>
      <c r="AA111" s="421" t="n"/>
      <c r="AB111" s="421" t="n"/>
      <c r="AC111" s="421" t="n"/>
      <c r="AD111" s="421" t="n"/>
      <c r="AE111" s="421" t="n"/>
      <c r="AF111" s="421" t="n"/>
      <c r="AG111" s="421" t="n"/>
      <c r="AH111" s="421" t="n"/>
      <c r="AI111" s="421" t="n"/>
      <c r="AJ111" s="220">
        <f>SUM(E111:AH111)</f>
        <v/>
      </c>
      <c r="AK111" s="153">
        <f>AJ111*D111</f>
        <v/>
      </c>
    </row>
    <row r="112">
      <c r="A112" s="149" t="inlineStr">
        <is>
          <t>4.2 หนังสือภายนอก</t>
        </is>
      </c>
      <c r="B112" s="150" t="inlineStr">
        <is>
          <t>เรื่อง</t>
        </is>
      </c>
      <c r="C112" s="151" t="n">
        <v>25</v>
      </c>
      <c r="D112" s="510">
        <f>C112*0.071</f>
        <v/>
      </c>
      <c r="E112" s="217" t="n"/>
      <c r="F112" s="217" t="n"/>
      <c r="G112" s="217" t="n"/>
      <c r="H112" s="217" t="n"/>
      <c r="I112" s="217" t="n"/>
      <c r="J112" s="217" t="n"/>
      <c r="K112" s="217" t="n"/>
      <c r="L112" s="217" t="n"/>
      <c r="M112" s="217" t="n"/>
      <c r="N112" s="217" t="n"/>
      <c r="O112" s="217" t="n"/>
      <c r="P112" s="217" t="n"/>
      <c r="Q112" s="217" t="n"/>
      <c r="R112" s="217" t="n"/>
      <c r="S112" s="217" t="n"/>
      <c r="T112" s="217" t="n"/>
      <c r="U112" s="217" t="n"/>
      <c r="V112" s="217" t="n"/>
      <c r="W112" s="217" t="n"/>
      <c r="X112" s="217" t="n"/>
      <c r="Y112" s="217" t="n"/>
      <c r="Z112" s="217" t="n"/>
      <c r="AA112" s="217" t="n"/>
      <c r="AB112" s="217" t="n"/>
      <c r="AC112" s="217" t="n"/>
      <c r="AD112" s="217" t="n"/>
      <c r="AE112" s="217" t="n"/>
      <c r="AF112" s="217" t="n"/>
      <c r="AG112" s="217" t="n"/>
      <c r="AH112" s="217" t="n"/>
      <c r="AI112" s="217" t="n"/>
      <c r="AJ112" s="220">
        <f>SUM(E112:AH112)</f>
        <v/>
      </c>
      <c r="AK112" s="153">
        <f>AJ112*D112</f>
        <v/>
      </c>
    </row>
    <row r="113">
      <c r="A113" s="355" t="inlineStr">
        <is>
          <t>4.3 ระเบียบ</t>
        </is>
      </c>
      <c r="B113" s="150" t="inlineStr">
        <is>
          <t>เรื่อง</t>
        </is>
      </c>
      <c r="C113" s="151" t="n">
        <v>30</v>
      </c>
      <c r="D113" s="510">
        <f>C113*0.071</f>
        <v/>
      </c>
      <c r="E113" s="217" t="n"/>
      <c r="F113" s="217" t="n"/>
      <c r="G113" s="217" t="n"/>
      <c r="H113" s="217" t="n"/>
      <c r="I113" s="217" t="n"/>
      <c r="J113" s="217" t="n"/>
      <c r="K113" s="217" t="n"/>
      <c r="L113" s="217" t="n"/>
      <c r="M113" s="217" t="n"/>
      <c r="N113" s="217" t="n"/>
      <c r="O113" s="217" t="n"/>
      <c r="P113" s="217" t="n"/>
      <c r="Q113" s="217" t="n"/>
      <c r="R113" s="217" t="n"/>
      <c r="S113" s="217" t="n"/>
      <c r="T113" s="217" t="n"/>
      <c r="U113" s="217" t="n"/>
      <c r="V113" s="217" t="n"/>
      <c r="W113" s="217" t="n"/>
      <c r="X113" s="217" t="n"/>
      <c r="Y113" s="217" t="n"/>
      <c r="Z113" s="217" t="n"/>
      <c r="AA113" s="217" t="n"/>
      <c r="AB113" s="217" t="n"/>
      <c r="AC113" s="217" t="n"/>
      <c r="AD113" s="217" t="n"/>
      <c r="AE113" s="217" t="n"/>
      <c r="AF113" s="217" t="n"/>
      <c r="AG113" s="217" t="n"/>
      <c r="AH113" s="217" t="n"/>
      <c r="AI113" s="217" t="n"/>
      <c r="AJ113" s="220">
        <f>SUM(E113:AH113)</f>
        <v/>
      </c>
      <c r="AK113" s="153">
        <f>AJ113*D113</f>
        <v/>
      </c>
    </row>
    <row r="114">
      <c r="A114" s="355" t="inlineStr">
        <is>
          <t>4.4 คำสั่ง</t>
        </is>
      </c>
      <c r="B114" s="150" t="inlineStr">
        <is>
          <t>เรื่อง</t>
        </is>
      </c>
      <c r="C114" s="151" t="n">
        <v>15</v>
      </c>
      <c r="D114" s="510">
        <f>C114*0.071</f>
        <v/>
      </c>
      <c r="E114" s="217" t="n"/>
      <c r="F114" s="217" t="n"/>
      <c r="G114" s="217" t="n"/>
      <c r="H114" s="217" t="n"/>
      <c r="I114" s="217" t="n"/>
      <c r="J114" s="217" t="n"/>
      <c r="K114" s="217" t="n"/>
      <c r="L114" s="217" t="n"/>
      <c r="M114" s="217" t="n"/>
      <c r="N114" s="217" t="n"/>
      <c r="O114" s="217" t="n"/>
      <c r="P114" s="217" t="n"/>
      <c r="Q114" s="217" t="n"/>
      <c r="R114" s="217" t="n"/>
      <c r="S114" s="217" t="n"/>
      <c r="T114" s="217" t="n"/>
      <c r="U114" s="217" t="n"/>
      <c r="V114" s="217" t="n"/>
      <c r="W114" s="217" t="n"/>
      <c r="X114" s="217" t="n"/>
      <c r="Y114" s="217" t="n"/>
      <c r="Z114" s="217" t="n"/>
      <c r="AA114" s="217" t="n"/>
      <c r="AB114" s="217" t="n"/>
      <c r="AC114" s="217" t="n"/>
      <c r="AD114" s="217" t="n"/>
      <c r="AE114" s="217" t="n"/>
      <c r="AF114" s="217" t="n"/>
      <c r="AG114" s="217" t="n"/>
      <c r="AH114" s="217" t="n"/>
      <c r="AI114" s="217" t="n"/>
      <c r="AJ114" s="220">
        <f>SUM(E114:AH114)</f>
        <v/>
      </c>
      <c r="AK114" s="153">
        <f>AJ114*D114</f>
        <v/>
      </c>
    </row>
    <row r="115">
      <c r="A115" s="149" t="inlineStr">
        <is>
          <t>4.5 พิมพ์หนังสือตามแบบฟอร์ม</t>
        </is>
      </c>
      <c r="B115" s="150" t="inlineStr">
        <is>
          <t>เรื่อง</t>
        </is>
      </c>
      <c r="C115" s="151" t="n">
        <v>10</v>
      </c>
      <c r="D115" s="510">
        <f>C115*0.071</f>
        <v/>
      </c>
      <c r="E115" s="217" t="n"/>
      <c r="F115" s="217" t="n"/>
      <c r="G115" s="217" t="n"/>
      <c r="H115" s="217" t="n"/>
      <c r="I115" s="217" t="n"/>
      <c r="J115" s="217" t="n"/>
      <c r="K115" s="217" t="n"/>
      <c r="L115" s="217" t="n"/>
      <c r="M115" s="217" t="n"/>
      <c r="N115" s="217" t="n"/>
      <c r="O115" s="217" t="n"/>
      <c r="P115" s="217" t="n"/>
      <c r="Q115" s="217" t="n"/>
      <c r="R115" s="217" t="n"/>
      <c r="S115" s="217" t="n"/>
      <c r="T115" s="217" t="n"/>
      <c r="U115" s="217" t="n"/>
      <c r="V115" s="217" t="n"/>
      <c r="W115" s="217" t="n"/>
      <c r="X115" s="217" t="n"/>
      <c r="Y115" s="217" t="n"/>
      <c r="Z115" s="217" t="n"/>
      <c r="AA115" s="217" t="n"/>
      <c r="AB115" s="217" t="n"/>
      <c r="AC115" s="217" t="n"/>
      <c r="AD115" s="217" t="n"/>
      <c r="AE115" s="217" t="n"/>
      <c r="AF115" s="217" t="n"/>
      <c r="AG115" s="217" t="n"/>
      <c r="AH115" s="217" t="n"/>
      <c r="AI115" s="217" t="n"/>
      <c r="AJ115" s="220">
        <f>SUM(E115:AH115)</f>
        <v/>
      </c>
      <c r="AK115" s="153">
        <f>AJ115*D115</f>
        <v/>
      </c>
    </row>
    <row r="116">
      <c r="A116" s="355" t="inlineStr">
        <is>
          <t>4.6 หนังสือที่เจ้าหน้าที่จัดทำขึ้นฯ(หนังสือรับรอง บันทึก)</t>
        </is>
      </c>
      <c r="B116" s="150" t="inlineStr">
        <is>
          <t>เรื่อง</t>
        </is>
      </c>
      <c r="C116" s="151" t="n">
        <v>10</v>
      </c>
      <c r="D116" s="510">
        <f>C116*0.071</f>
        <v/>
      </c>
      <c r="E116" s="217" t="n"/>
      <c r="F116" s="217" t="n"/>
      <c r="G116" s="217" t="n"/>
      <c r="H116" s="217" t="n"/>
      <c r="I116" s="217" t="n"/>
      <c r="J116" s="217" t="n"/>
      <c r="K116" s="217" t="n"/>
      <c r="L116" s="217" t="n"/>
      <c r="M116" s="217" t="n"/>
      <c r="N116" s="217" t="n"/>
      <c r="O116" s="217" t="n"/>
      <c r="P116" s="217" t="n"/>
      <c r="Q116" s="217" t="n"/>
      <c r="R116" s="217" t="n"/>
      <c r="S116" s="217" t="n"/>
      <c r="T116" s="217" t="n"/>
      <c r="U116" s="217" t="n"/>
      <c r="V116" s="217" t="n"/>
      <c r="W116" s="217" t="n"/>
      <c r="X116" s="217" t="n"/>
      <c r="Y116" s="217" t="n"/>
      <c r="Z116" s="217" t="n"/>
      <c r="AA116" s="217" t="n"/>
      <c r="AB116" s="217" t="n"/>
      <c r="AC116" s="217" t="n"/>
      <c r="AD116" s="217" t="n"/>
      <c r="AE116" s="217" t="n"/>
      <c r="AF116" s="217" t="n"/>
      <c r="AG116" s="217" t="n"/>
      <c r="AH116" s="217" t="n"/>
      <c r="AI116" s="217" t="n"/>
      <c r="AJ116" s="220">
        <f>SUM(E116:AH116)</f>
        <v/>
      </c>
      <c r="AK116" s="153">
        <f>AJ116*D116</f>
        <v/>
      </c>
    </row>
    <row r="117">
      <c r="A117" s="356" t="inlineStr">
        <is>
          <t>4.7 พิมพ์ชื่อ-ที่อยู่ ซอง การ์ดต่างๆ</t>
        </is>
      </c>
      <c r="B117" s="354" t="inlineStr">
        <is>
          <t>ฉบับ</t>
        </is>
      </c>
      <c r="C117" s="151" t="n">
        <v>3</v>
      </c>
      <c r="D117" s="510">
        <f>C117*0.071</f>
        <v/>
      </c>
      <c r="E117" s="217" t="n"/>
      <c r="F117" s="217" t="n"/>
      <c r="G117" s="217" t="n"/>
      <c r="H117" s="217" t="n"/>
      <c r="I117" s="217" t="n"/>
      <c r="J117" s="217" t="n"/>
      <c r="K117" s="217" t="n"/>
      <c r="L117" s="217" t="n"/>
      <c r="M117" s="217" t="n"/>
      <c r="N117" s="217" t="n"/>
      <c r="O117" s="217" t="n"/>
      <c r="P117" s="217" t="n"/>
      <c r="Q117" s="217" t="n"/>
      <c r="R117" s="217" t="n"/>
      <c r="S117" s="217" t="n"/>
      <c r="T117" s="217" t="n"/>
      <c r="U117" s="217" t="n"/>
      <c r="V117" s="217" t="n"/>
      <c r="W117" s="217" t="n"/>
      <c r="X117" s="217" t="n"/>
      <c r="Y117" s="217" t="n"/>
      <c r="Z117" s="217" t="n"/>
      <c r="AA117" s="217" t="n"/>
      <c r="AB117" s="217" t="n"/>
      <c r="AC117" s="217" t="n"/>
      <c r="AD117" s="217" t="n"/>
      <c r="AE117" s="217" t="n"/>
      <c r="AF117" s="217" t="n"/>
      <c r="AG117" s="217" t="n"/>
      <c r="AH117" s="217" t="n"/>
      <c r="AI117" s="217" t="n"/>
      <c r="AJ117" s="220">
        <f>SUM(E117:AH117)</f>
        <v/>
      </c>
      <c r="AK117" s="153">
        <f>AJ117*D117</f>
        <v/>
      </c>
    </row>
    <row r="118">
      <c r="A118" s="357" t="inlineStr">
        <is>
          <t>4.8 ส่งไปรษณีย์ภายใน รพ.</t>
        </is>
      </c>
      <c r="B118" s="354" t="inlineStr">
        <is>
          <t>วัน</t>
        </is>
      </c>
      <c r="C118" s="151" t="n">
        <v>15</v>
      </c>
      <c r="D118" s="510">
        <f>C118*0.071</f>
        <v/>
      </c>
      <c r="E118" s="217" t="n"/>
      <c r="F118" s="217" t="n"/>
      <c r="G118" s="217" t="n"/>
      <c r="H118" s="217" t="n"/>
      <c r="I118" s="217" t="n"/>
      <c r="J118" s="217" t="n"/>
      <c r="K118" s="217" t="n"/>
      <c r="L118" s="217" t="n"/>
      <c r="M118" s="217" t="n"/>
      <c r="N118" s="217" t="n"/>
      <c r="O118" s="217" t="n"/>
      <c r="P118" s="217" t="n"/>
      <c r="Q118" s="217" t="n"/>
      <c r="R118" s="217" t="n"/>
      <c r="S118" s="217" t="n"/>
      <c r="T118" s="217" t="n"/>
      <c r="U118" s="217" t="n"/>
      <c r="V118" s="217" t="n"/>
      <c r="W118" s="217" t="n"/>
      <c r="X118" s="217" t="n"/>
      <c r="Y118" s="217" t="n"/>
      <c r="Z118" s="217" t="n"/>
      <c r="AA118" s="217" t="n"/>
      <c r="AB118" s="217" t="n"/>
      <c r="AC118" s="217" t="n"/>
      <c r="AD118" s="217" t="n"/>
      <c r="AE118" s="217" t="n"/>
      <c r="AF118" s="217" t="n"/>
      <c r="AG118" s="217" t="n"/>
      <c r="AH118" s="217" t="n"/>
      <c r="AI118" s="217" t="n"/>
      <c r="AJ118" s="220">
        <f>SUM(E118:AH118)</f>
        <v/>
      </c>
      <c r="AK118" s="153">
        <f>AJ118*D118</f>
        <v/>
      </c>
    </row>
    <row r="119">
      <c r="A119" s="357" t="inlineStr">
        <is>
          <t>4.9 ส่งไปรษณีย์นอก รพ.</t>
        </is>
      </c>
      <c r="B119" s="354" t="inlineStr">
        <is>
          <t>วัน</t>
        </is>
      </c>
      <c r="C119" s="151" t="n">
        <v>180</v>
      </c>
      <c r="D119" s="510">
        <f>C119*0.071</f>
        <v/>
      </c>
      <c r="E119" s="217" t="n"/>
      <c r="F119" s="217" t="n"/>
      <c r="G119" s="217" t="n"/>
      <c r="H119" s="217" t="n"/>
      <c r="I119" s="217" t="n"/>
      <c r="J119" s="217" t="n"/>
      <c r="K119" s="217" t="n"/>
      <c r="L119" s="217" t="n"/>
      <c r="M119" s="217" t="n"/>
      <c r="N119" s="217" t="n"/>
      <c r="O119" s="217" t="n"/>
      <c r="P119" s="217" t="n"/>
      <c r="Q119" s="217" t="n"/>
      <c r="R119" s="217" t="n"/>
      <c r="S119" s="217" t="n"/>
      <c r="T119" s="217" t="n"/>
      <c r="U119" s="217" t="n"/>
      <c r="V119" s="217" t="n"/>
      <c r="W119" s="217" t="n"/>
      <c r="X119" s="217" t="n"/>
      <c r="Y119" s="217" t="n"/>
      <c r="Z119" s="217" t="n"/>
      <c r="AA119" s="217" t="n"/>
      <c r="AB119" s="217" t="n"/>
      <c r="AC119" s="217" t="n"/>
      <c r="AD119" s="217" t="n"/>
      <c r="AE119" s="217" t="n"/>
      <c r="AF119" s="217" t="n"/>
      <c r="AG119" s="217" t="n"/>
      <c r="AH119" s="217" t="n"/>
      <c r="AI119" s="217" t="n"/>
      <c r="AJ119" s="220">
        <f>SUM(E119:AH119)</f>
        <v/>
      </c>
      <c r="AK119" s="153">
        <f>AJ119*D119</f>
        <v/>
      </c>
    </row>
    <row r="120">
      <c r="A120" s="358" t="inlineStr">
        <is>
          <t>5. การค้นหาหนังสือราชการ/เอกสารอื่น (เช่นใบเสร็จรับเงิน,ใบจำนง,หลักฐานการเงิน,หนังสือขอบคุณ)</t>
        </is>
      </c>
      <c r="B120" s="150" t="inlineStr">
        <is>
          <t>ฉบับ</t>
        </is>
      </c>
      <c r="C120" s="351" t="n">
        <v>5</v>
      </c>
      <c r="D120" s="510">
        <f>C120*0.071</f>
        <v/>
      </c>
      <c r="E120" s="217" t="n"/>
      <c r="F120" s="217" t="n"/>
      <c r="G120" s="217" t="n"/>
      <c r="H120" s="217" t="n"/>
      <c r="I120" s="217" t="n"/>
      <c r="J120" s="217" t="n"/>
      <c r="K120" s="217" t="n"/>
      <c r="L120" s="217" t="n"/>
      <c r="M120" s="217" t="n"/>
      <c r="N120" s="217" t="n"/>
      <c r="O120" s="217" t="n"/>
      <c r="P120" s="217" t="n"/>
      <c r="Q120" s="217" t="n"/>
      <c r="R120" s="217" t="n"/>
      <c r="S120" s="217" t="n"/>
      <c r="T120" s="217" t="n"/>
      <c r="U120" s="217" t="n"/>
      <c r="V120" s="217" t="n"/>
      <c r="W120" s="217" t="n"/>
      <c r="X120" s="217" t="n"/>
      <c r="Y120" s="217" t="n"/>
      <c r="Z120" s="217" t="n"/>
      <c r="AA120" s="217" t="n"/>
      <c r="AB120" s="217" t="n"/>
      <c r="AC120" s="217" t="n"/>
      <c r="AD120" s="217" t="n"/>
      <c r="AE120" s="217" t="n"/>
      <c r="AF120" s="217" t="n"/>
      <c r="AG120" s="217" t="n"/>
      <c r="AH120" s="217" t="n"/>
      <c r="AI120" s="217" t="n"/>
      <c r="AJ120" s="220">
        <f>SUM(E120:AH120)</f>
        <v/>
      </c>
      <c r="AK120" s="153">
        <f>AJ120*D120</f>
        <v/>
      </c>
    </row>
    <row r="121">
      <c r="A121" s="359" t="inlineStr">
        <is>
          <t>6. การถ่ายเอกสาร/การสำเนาเอกสาร</t>
        </is>
      </c>
      <c r="B121" s="150" t="inlineStr">
        <is>
          <t>เรื่อง</t>
        </is>
      </c>
      <c r="C121" s="151" t="n">
        <v>5</v>
      </c>
      <c r="D121" s="510">
        <f>C121*0.071</f>
        <v/>
      </c>
      <c r="E121" s="217" t="n"/>
      <c r="F121" s="217" t="n"/>
      <c r="G121" s="217" t="n"/>
      <c r="H121" s="217" t="n"/>
      <c r="I121" s="217" t="n"/>
      <c r="J121" s="217" t="n"/>
      <c r="K121" s="217" t="n"/>
      <c r="L121" s="217" t="n"/>
      <c r="M121" s="217" t="n"/>
      <c r="N121" s="217" t="n"/>
      <c r="O121" s="217" t="n"/>
      <c r="P121" s="217" t="n"/>
      <c r="Q121" s="217" t="n"/>
      <c r="R121" s="217" t="n"/>
      <c r="S121" s="217" t="n"/>
      <c r="T121" s="217" t="n"/>
      <c r="U121" s="217" t="n"/>
      <c r="V121" s="217" t="n"/>
      <c r="W121" s="217" t="n"/>
      <c r="X121" s="217" t="n"/>
      <c r="Y121" s="217" t="n"/>
      <c r="Z121" s="217" t="n"/>
      <c r="AA121" s="217" t="n"/>
      <c r="AB121" s="217" t="n"/>
      <c r="AC121" s="217" t="n"/>
      <c r="AD121" s="217" t="n"/>
      <c r="AE121" s="217" t="n"/>
      <c r="AF121" s="217" t="n"/>
      <c r="AG121" s="217" t="n"/>
      <c r="AH121" s="217" t="n"/>
      <c r="AI121" s="217" t="n"/>
      <c r="AJ121" s="220">
        <f>SUM(E121:AH121)</f>
        <v/>
      </c>
      <c r="AK121" s="153">
        <f>AJ121*D121</f>
        <v/>
      </c>
    </row>
    <row r="122">
      <c r="A122" s="359" t="inlineStr">
        <is>
          <t>7. การสแกนเอกสาร/ทำไฟล์แยกหมวดหมู่</t>
        </is>
      </c>
      <c r="B122" s="150" t="inlineStr">
        <is>
          <t>เรื่อง</t>
        </is>
      </c>
      <c r="C122" s="151" t="n">
        <v>5</v>
      </c>
      <c r="D122" s="510">
        <f>C122*0.071</f>
        <v/>
      </c>
      <c r="E122" s="217" t="n"/>
      <c r="F122" s="217" t="n"/>
      <c r="G122" s="217" t="n"/>
      <c r="H122" s="217" t="n"/>
      <c r="I122" s="217" t="n"/>
      <c r="J122" s="217" t="n"/>
      <c r="K122" s="217" t="n"/>
      <c r="L122" s="217" t="n"/>
      <c r="M122" s="217" t="n"/>
      <c r="N122" s="217" t="n"/>
      <c r="O122" s="217" t="n"/>
      <c r="P122" s="217" t="n"/>
      <c r="Q122" s="217" t="n"/>
      <c r="R122" s="217" t="n"/>
      <c r="S122" s="217" t="n"/>
      <c r="T122" s="217" t="n"/>
      <c r="U122" s="217" t="n"/>
      <c r="V122" s="217" t="n"/>
      <c r="W122" s="217" t="n"/>
      <c r="X122" s="217" t="n"/>
      <c r="Y122" s="217" t="n"/>
      <c r="Z122" s="217" t="n"/>
      <c r="AA122" s="217" t="n"/>
      <c r="AB122" s="217" t="n"/>
      <c r="AC122" s="217" t="n"/>
      <c r="AD122" s="217" t="n"/>
      <c r="AE122" s="217" t="n"/>
      <c r="AF122" s="217" t="n"/>
      <c r="AG122" s="217" t="n"/>
      <c r="AH122" s="217" t="n"/>
      <c r="AI122" s="217" t="n"/>
      <c r="AJ122" s="220">
        <f>SUM(E122:AH122)</f>
        <v/>
      </c>
      <c r="AK122" s="153">
        <f>AJ122*D122</f>
        <v/>
      </c>
    </row>
    <row r="123">
      <c r="A123" s="360" t="inlineStr">
        <is>
          <t>8. การขออนุมัติใช้ห้องประชุม</t>
        </is>
      </c>
      <c r="B123" s="150" t="inlineStr">
        <is>
          <t>ครั้ง</t>
        </is>
      </c>
      <c r="C123" s="151" t="n">
        <v>5</v>
      </c>
      <c r="D123" s="510">
        <f>C123*0.071</f>
        <v/>
      </c>
      <c r="E123" s="217" t="n"/>
      <c r="F123" s="217" t="n"/>
      <c r="G123" s="217" t="n"/>
      <c r="H123" s="217" t="n"/>
      <c r="I123" s="217" t="n"/>
      <c r="J123" s="217" t="n"/>
      <c r="K123" s="217" t="n"/>
      <c r="L123" s="217" t="n"/>
      <c r="M123" s="217" t="n"/>
      <c r="N123" s="217" t="n"/>
      <c r="O123" s="217" t="n"/>
      <c r="P123" s="217" t="n"/>
      <c r="Q123" s="217" t="n"/>
      <c r="R123" s="217" t="n"/>
      <c r="S123" s="217" t="n"/>
      <c r="T123" s="217" t="n"/>
      <c r="U123" s="217" t="n"/>
      <c r="V123" s="217" t="n"/>
      <c r="W123" s="217" t="n"/>
      <c r="X123" s="217" t="n"/>
      <c r="Y123" s="217" t="n"/>
      <c r="Z123" s="217" t="n"/>
      <c r="AA123" s="217" t="n"/>
      <c r="AB123" s="217" t="n"/>
      <c r="AC123" s="217" t="n"/>
      <c r="AD123" s="217" t="n"/>
      <c r="AE123" s="217" t="n"/>
      <c r="AF123" s="217" t="n"/>
      <c r="AG123" s="217" t="n"/>
      <c r="AH123" s="217" t="n"/>
      <c r="AI123" s="217" t="n"/>
      <c r="AJ123" s="220">
        <f>SUM(E123:AH123)</f>
        <v/>
      </c>
      <c r="AK123" s="153">
        <f>AJ123*D123</f>
        <v/>
      </c>
    </row>
    <row r="124">
      <c r="A124" s="360" t="inlineStr">
        <is>
          <t>9. การขอใช้รถยนต์ราชการ</t>
        </is>
      </c>
      <c r="B124" s="150" t="inlineStr">
        <is>
          <t>ครั้ง</t>
        </is>
      </c>
      <c r="C124" s="151" t="n">
        <v>5</v>
      </c>
      <c r="D124" s="510">
        <f>C124*0.071</f>
        <v/>
      </c>
      <c r="E124" s="217" t="n"/>
      <c r="F124" s="217" t="n"/>
      <c r="G124" s="217" t="n"/>
      <c r="H124" s="217" t="n"/>
      <c r="I124" s="217" t="n"/>
      <c r="J124" s="217" t="n"/>
      <c r="K124" s="217" t="n"/>
      <c r="L124" s="217" t="n"/>
      <c r="M124" s="217" t="n"/>
      <c r="N124" s="217" t="n"/>
      <c r="O124" s="217" t="n"/>
      <c r="P124" s="217" t="n"/>
      <c r="Q124" s="217" t="n"/>
      <c r="R124" s="217" t="n"/>
      <c r="S124" s="217" t="n"/>
      <c r="T124" s="217" t="n"/>
      <c r="U124" s="217" t="n"/>
      <c r="V124" s="217" t="n"/>
      <c r="W124" s="217" t="n"/>
      <c r="X124" s="217" t="n"/>
      <c r="Y124" s="217" t="n"/>
      <c r="Z124" s="217" t="n"/>
      <c r="AA124" s="217" t="n"/>
      <c r="AB124" s="217" t="n"/>
      <c r="AC124" s="217" t="n"/>
      <c r="AD124" s="217" t="n"/>
      <c r="AE124" s="217" t="n"/>
      <c r="AF124" s="217" t="n"/>
      <c r="AG124" s="217" t="n"/>
      <c r="AH124" s="217" t="n"/>
      <c r="AI124" s="217" t="n"/>
      <c r="AJ124" s="220">
        <f>SUM(E124:AH124)</f>
        <v/>
      </c>
      <c r="AK124" s="153">
        <f>AJ124*D124</f>
        <v/>
      </c>
    </row>
    <row r="125">
      <c r="A125" s="359" t="inlineStr">
        <is>
          <t>10. การจัดทำรายงานการประชุม(ไม่เกิน 5 วัน/รายงาน)</t>
        </is>
      </c>
      <c r="B125" s="361" t="inlineStr">
        <is>
          <t>เรื่อง</t>
        </is>
      </c>
      <c r="C125" s="151" t="n">
        <v>60</v>
      </c>
      <c r="D125" s="510">
        <f>C125*0.071</f>
        <v/>
      </c>
      <c r="E125" s="217" t="n"/>
      <c r="F125" s="217" t="n"/>
      <c r="G125" s="217" t="n"/>
      <c r="H125" s="217" t="n"/>
      <c r="I125" s="217" t="n"/>
      <c r="J125" s="217" t="n"/>
      <c r="K125" s="217" t="n"/>
      <c r="L125" s="217" t="n"/>
      <c r="M125" s="217" t="n"/>
      <c r="N125" s="217" t="n"/>
      <c r="O125" s="217" t="n"/>
      <c r="P125" s="217" t="n"/>
      <c r="Q125" s="217" t="n"/>
      <c r="R125" s="217" t="n"/>
      <c r="S125" s="217" t="n"/>
      <c r="T125" s="217" t="n"/>
      <c r="U125" s="217" t="n"/>
      <c r="V125" s="217" t="n"/>
      <c r="W125" s="217" t="n"/>
      <c r="X125" s="217" t="n"/>
      <c r="Y125" s="217" t="n"/>
      <c r="Z125" s="217" t="n"/>
      <c r="AA125" s="217" t="n"/>
      <c r="AB125" s="217" t="n"/>
      <c r="AC125" s="217" t="n"/>
      <c r="AD125" s="217" t="n"/>
      <c r="AE125" s="217" t="n"/>
      <c r="AF125" s="217" t="n"/>
      <c r="AG125" s="217" t="n"/>
      <c r="AH125" s="217" t="n"/>
      <c r="AI125" s="217" t="n"/>
      <c r="AJ125" s="220">
        <f>SUM(E125:AH125)</f>
        <v/>
      </c>
      <c r="AK125" s="153">
        <f>AJ125*D125</f>
        <v/>
      </c>
    </row>
    <row r="126">
      <c r="A126" s="144" t="inlineStr">
        <is>
          <t>11. การติดต่อประสานงาน</t>
        </is>
      </c>
      <c r="B126" s="145" t="n"/>
      <c r="C126" s="146" t="n"/>
      <c r="D126" s="145" t="n"/>
      <c r="E126" s="211" t="n"/>
      <c r="F126" s="211" t="n"/>
      <c r="G126" s="211" t="n"/>
      <c r="H126" s="211" t="n"/>
      <c r="I126" s="211" t="n"/>
      <c r="J126" s="211" t="n"/>
      <c r="K126" s="211" t="n"/>
      <c r="L126" s="211" t="n"/>
      <c r="M126" s="211" t="n"/>
      <c r="N126" s="211" t="n"/>
      <c r="O126" s="211" t="n"/>
      <c r="P126" s="211" t="n"/>
      <c r="Q126" s="211" t="n"/>
      <c r="R126" s="211" t="n"/>
      <c r="S126" s="211" t="n"/>
      <c r="T126" s="211" t="n"/>
      <c r="U126" s="211" t="n"/>
      <c r="V126" s="211" t="n"/>
      <c r="W126" s="211" t="n"/>
      <c r="X126" s="211" t="n"/>
      <c r="Y126" s="211" t="n"/>
      <c r="Z126" s="211" t="n"/>
      <c r="AA126" s="211" t="n"/>
      <c r="AB126" s="211" t="n"/>
      <c r="AC126" s="211" t="n"/>
      <c r="AD126" s="211" t="n"/>
      <c r="AE126" s="211" t="n"/>
      <c r="AF126" s="211" t="n"/>
      <c r="AG126" s="211" t="n"/>
      <c r="AH126" s="211" t="n"/>
      <c r="AI126" s="211" t="n"/>
      <c r="AJ126" s="213" t="n"/>
      <c r="AK126" s="601" t="n"/>
    </row>
    <row r="127">
      <c r="A127" s="149" t="inlineStr">
        <is>
          <t xml:space="preserve">11.1 การติดต่อประสานงานภายใน รพ.ฯ </t>
        </is>
      </c>
      <c r="B127" s="150" t="inlineStr">
        <is>
          <t>ครั้ง</t>
        </is>
      </c>
      <c r="C127" s="508" t="n">
        <v>10</v>
      </c>
      <c r="D127" s="518">
        <f>C127*0.071</f>
        <v/>
      </c>
      <c r="E127" s="519" t="n"/>
      <c r="F127" s="217" t="n"/>
      <c r="G127" s="217" t="n"/>
      <c r="H127" s="217" t="n"/>
      <c r="I127" s="217" t="n"/>
      <c r="J127" s="217" t="n"/>
      <c r="K127" s="217" t="n"/>
      <c r="L127" s="217" t="n"/>
      <c r="M127" s="217" t="n"/>
      <c r="N127" s="217" t="n"/>
      <c r="O127" s="217" t="n"/>
      <c r="P127" s="217" t="n"/>
      <c r="Q127" s="217" t="n"/>
      <c r="R127" s="217" t="n"/>
      <c r="S127" s="217" t="n"/>
      <c r="T127" s="217" t="n"/>
      <c r="U127" s="217" t="n"/>
      <c r="V127" s="217" t="n"/>
      <c r="W127" s="217" t="n"/>
      <c r="X127" s="217" t="n"/>
      <c r="Y127" s="217" t="n"/>
      <c r="Z127" s="217" t="n"/>
      <c r="AA127" s="217" t="n"/>
      <c r="AB127" s="217" t="n"/>
      <c r="AC127" s="217" t="n"/>
      <c r="AD127" s="217" t="n"/>
      <c r="AE127" s="217" t="n"/>
      <c r="AF127" s="217" t="n"/>
      <c r="AG127" s="217" t="n"/>
      <c r="AH127" s="217" t="n"/>
      <c r="AI127" s="217" t="n"/>
      <c r="AJ127" s="220">
        <f>SUM(E127:AH127)</f>
        <v/>
      </c>
      <c r="AK127" s="153">
        <f>AJ127*D127</f>
        <v/>
      </c>
    </row>
    <row r="128">
      <c r="A128" s="155" t="inlineStr">
        <is>
          <t>11.2 การติดต่อประสานงานภายนอก รพ.ฯ</t>
        </is>
      </c>
      <c r="B128" s="515" t="inlineStr">
        <is>
          <t>ครั้ง</t>
        </is>
      </c>
      <c r="C128" s="512" t="n">
        <v>15</v>
      </c>
      <c r="D128" s="513">
        <f>C128*0.071</f>
        <v/>
      </c>
      <c r="E128" s="520" t="n"/>
      <c r="F128" s="520" t="n"/>
      <c r="G128" s="520" t="n"/>
      <c r="H128" s="520" t="n"/>
      <c r="I128" s="520" t="n"/>
      <c r="J128" s="520" t="n"/>
      <c r="K128" s="520" t="n"/>
      <c r="L128" s="520" t="n"/>
      <c r="M128" s="520" t="n"/>
      <c r="N128" s="520" t="n"/>
      <c r="O128" s="520" t="n"/>
      <c r="P128" s="520" t="n"/>
      <c r="Q128" s="520" t="n"/>
      <c r="R128" s="520" t="n"/>
      <c r="S128" s="520" t="n"/>
      <c r="T128" s="520" t="n"/>
      <c r="U128" s="520" t="n"/>
      <c r="V128" s="520" t="n"/>
      <c r="W128" s="520" t="n"/>
      <c r="X128" s="520" t="n"/>
      <c r="Y128" s="520" t="n"/>
      <c r="Z128" s="520" t="n"/>
      <c r="AA128" s="520" t="n"/>
      <c r="AB128" s="520" t="n"/>
      <c r="AC128" s="520" t="n"/>
      <c r="AD128" s="520" t="n"/>
      <c r="AE128" s="520" t="n"/>
      <c r="AF128" s="520" t="n"/>
      <c r="AG128" s="520" t="n"/>
      <c r="AH128" s="520" t="n"/>
      <c r="AI128" s="224" t="n"/>
      <c r="AJ128" s="422">
        <f>SUM(E128:AH128)</f>
        <v/>
      </c>
      <c r="AK128" s="345">
        <f>AJ128*D128</f>
        <v/>
      </c>
    </row>
    <row r="129" ht="25" customHeight="1">
      <c r="A129" s="521" t="inlineStr">
        <is>
          <t>การดูแลรายวิชา</t>
        </is>
      </c>
      <c r="B129" s="610" t="n"/>
      <c r="C129" s="611" t="n"/>
      <c r="D129" s="611" t="n"/>
      <c r="E129" s="517" t="n"/>
      <c r="F129" s="517" t="n"/>
      <c r="G129" s="517" t="n"/>
      <c r="H129" s="517" t="n"/>
      <c r="I129" s="517" t="n"/>
      <c r="J129" s="517" t="n"/>
      <c r="K129" s="517" t="n"/>
      <c r="L129" s="517" t="n"/>
      <c r="M129" s="517" t="n"/>
      <c r="N129" s="517" t="n"/>
      <c r="O129" s="517" t="n"/>
      <c r="P129" s="517" t="n"/>
      <c r="Q129" s="517" t="n"/>
      <c r="R129" s="517" t="n"/>
      <c r="S129" s="517" t="n"/>
      <c r="T129" s="517" t="n"/>
      <c r="U129" s="517" t="n"/>
      <c r="V129" s="517" t="n"/>
      <c r="W129" s="517" t="n"/>
      <c r="X129" s="517" t="n"/>
      <c r="Y129" s="517" t="n"/>
      <c r="Z129" s="517" t="n"/>
      <c r="AA129" s="517" t="n"/>
      <c r="AB129" s="517" t="n"/>
      <c r="AC129" s="517" t="n"/>
      <c r="AD129" s="517" t="n"/>
      <c r="AE129" s="517" t="n"/>
      <c r="AF129" s="517" t="n"/>
      <c r="AG129" s="517" t="n"/>
      <c r="AH129" s="517" t="n"/>
      <c r="AI129" s="592" t="n"/>
      <c r="AJ129" s="593" t="n"/>
      <c r="AK129" s="613" t="n"/>
    </row>
    <row r="130" ht="25" customHeight="1">
      <c r="A130" s="522" t="inlineStr">
        <is>
          <t>1.จัดทำ มคอ.3 คู่มือ เอกสารในรายวิชา (ปีละ 1 ครั้ง)</t>
        </is>
      </c>
      <c r="B130" s="523" t="inlineStr">
        <is>
          <t>รายวิชา</t>
        </is>
      </c>
      <c r="C130" s="523" t="inlineStr">
        <is>
          <t>เหมา</t>
        </is>
      </c>
      <c r="D130" s="523" t="n">
        <v>300</v>
      </c>
      <c r="E130" s="524" t="n"/>
      <c r="F130" s="524" t="n"/>
      <c r="G130" s="524" t="n"/>
      <c r="H130" s="524" t="n"/>
      <c r="I130" s="524" t="n"/>
      <c r="J130" s="524" t="n"/>
      <c r="K130" s="524" t="n"/>
      <c r="L130" s="524" t="n"/>
      <c r="M130" s="524" t="n"/>
      <c r="N130" s="524" t="n"/>
      <c r="O130" s="524" t="n"/>
      <c r="P130" s="524" t="n"/>
      <c r="Q130" s="524" t="n"/>
      <c r="R130" s="524" t="n"/>
      <c r="S130" s="524" t="n"/>
      <c r="T130" s="524" t="n"/>
      <c r="U130" s="524" t="n"/>
      <c r="V130" s="524" t="n"/>
      <c r="W130" s="524" t="n"/>
      <c r="X130" s="524" t="n"/>
      <c r="Y130" s="524" t="n"/>
      <c r="Z130" s="524" t="n"/>
      <c r="AA130" s="524" t="n"/>
      <c r="AB130" s="524" t="n"/>
      <c r="AC130" s="524" t="n"/>
      <c r="AD130" s="524" t="n"/>
      <c r="AE130" s="524" t="n"/>
      <c r="AF130" s="524" t="n"/>
      <c r="AG130" s="524" t="n"/>
      <c r="AH130" s="524" t="n"/>
      <c r="AI130" s="527" t="n"/>
      <c r="AJ130" s="594">
        <f>SUM(E130:AH130)</f>
        <v/>
      </c>
      <c r="AK130" s="603">
        <f>AJ130*D130</f>
        <v/>
      </c>
    </row>
    <row r="131" ht="25" customHeight="1">
      <c r="A131" s="525" t="inlineStr">
        <is>
          <t>2.การขออนุมัติใช้ห้องเรียน ห้องประชุม ห้องฝึกปฏิบัติการ</t>
        </is>
      </c>
      <c r="B131" s="526" t="inlineStr">
        <is>
          <t>ครั้ง</t>
        </is>
      </c>
      <c r="C131" s="526" t="n">
        <v>5</v>
      </c>
      <c r="D131" s="377">
        <f>C131*0.071</f>
        <v/>
      </c>
      <c r="E131" s="527" t="n"/>
      <c r="F131" s="527" t="n"/>
      <c r="G131" s="527" t="n"/>
      <c r="H131" s="527" t="n"/>
      <c r="I131" s="527" t="n"/>
      <c r="J131" s="527" t="n"/>
      <c r="K131" s="527" t="n"/>
      <c r="L131" s="527" t="n"/>
      <c r="M131" s="527" t="n"/>
      <c r="N131" s="527" t="n"/>
      <c r="O131" s="527" t="n"/>
      <c r="P131" s="527" t="n"/>
      <c r="Q131" s="527" t="n"/>
      <c r="R131" s="527" t="n"/>
      <c r="S131" s="527" t="n"/>
      <c r="T131" s="527" t="n"/>
      <c r="U131" s="527" t="n"/>
      <c r="V131" s="527" t="n"/>
      <c r="W131" s="527" t="n"/>
      <c r="X131" s="527" t="n"/>
      <c r="Y131" s="527" t="n"/>
      <c r="Z131" s="527" t="n"/>
      <c r="AA131" s="527" t="n"/>
      <c r="AB131" s="527" t="n"/>
      <c r="AC131" s="527" t="n"/>
      <c r="AD131" s="527" t="n"/>
      <c r="AE131" s="527" t="n"/>
      <c r="AF131" s="527" t="n"/>
      <c r="AG131" s="527" t="n"/>
      <c r="AH131" s="527" t="n"/>
      <c r="AI131" s="527" t="n"/>
      <c r="AJ131" s="439">
        <f>SUM(E131:AH131)</f>
        <v/>
      </c>
      <c r="AK131" s="383">
        <f>AJ131*D131</f>
        <v/>
      </c>
    </row>
    <row r="132" ht="25" customHeight="1">
      <c r="A132" s="528" t="inlineStr">
        <is>
          <t>3.รวบรวมข้อมูลในการจัดทำการประเมินทางดิจิทัล</t>
        </is>
      </c>
      <c r="B132" s="529" t="inlineStr">
        <is>
          <t>ครั้ง</t>
        </is>
      </c>
      <c r="C132" s="395" t="n">
        <v>60</v>
      </c>
      <c r="D132" s="377">
        <f>C132*0.071</f>
        <v/>
      </c>
      <c r="E132" s="527" t="n"/>
      <c r="F132" s="527" t="n"/>
      <c r="G132" s="527" t="n"/>
      <c r="H132" s="527" t="n"/>
      <c r="I132" s="527" t="n"/>
      <c r="J132" s="527" t="n"/>
      <c r="K132" s="527" t="n"/>
      <c r="L132" s="527" t="n"/>
      <c r="M132" s="527" t="n"/>
      <c r="N132" s="527" t="n"/>
      <c r="O132" s="527" t="n"/>
      <c r="P132" s="527" t="n"/>
      <c r="Q132" s="527" t="n"/>
      <c r="R132" s="527" t="n"/>
      <c r="S132" s="527" t="n"/>
      <c r="T132" s="527" t="n"/>
      <c r="U132" s="527" t="n"/>
      <c r="V132" s="527" t="n"/>
      <c r="W132" s="527" t="n"/>
      <c r="X132" s="527" t="n"/>
      <c r="Y132" s="527" t="n"/>
      <c r="Z132" s="527" t="n"/>
      <c r="AA132" s="527" t="n"/>
      <c r="AB132" s="527" t="n"/>
      <c r="AC132" s="527" t="n"/>
      <c r="AD132" s="527" t="n"/>
      <c r="AE132" s="527" t="n"/>
      <c r="AF132" s="527" t="n"/>
      <c r="AG132" s="527" t="n"/>
      <c r="AH132" s="527" t="n"/>
      <c r="AI132" s="527" t="n"/>
      <c r="AJ132" s="439">
        <f>SUM(E132:AH132)</f>
        <v/>
      </c>
      <c r="AK132" s="383">
        <f>AJ132*D132</f>
        <v/>
      </c>
    </row>
    <row r="133" ht="25" customHeight="1">
      <c r="A133" s="522" t="inlineStr">
        <is>
          <t>4.ประสานงานกับระบบ REXX</t>
        </is>
      </c>
      <c r="B133" s="529" t="inlineStr">
        <is>
          <t>ครั้ง</t>
        </is>
      </c>
      <c r="C133" s="395" t="n">
        <v>10</v>
      </c>
      <c r="D133" s="377">
        <f>C133*0.071</f>
        <v/>
      </c>
      <c r="E133" s="527" t="n"/>
      <c r="F133" s="527" t="n"/>
      <c r="G133" s="527" t="n"/>
      <c r="H133" s="527" t="n"/>
      <c r="I133" s="527" t="n"/>
      <c r="J133" s="527" t="n"/>
      <c r="K133" s="527" t="n"/>
      <c r="L133" s="527" t="n"/>
      <c r="M133" s="527" t="n"/>
      <c r="N133" s="527" t="n"/>
      <c r="O133" s="527" t="n"/>
      <c r="P133" s="527" t="n"/>
      <c r="Q133" s="527" t="n"/>
      <c r="R133" s="527" t="n"/>
      <c r="S133" s="527" t="n"/>
      <c r="T133" s="527" t="n"/>
      <c r="U133" s="527" t="n"/>
      <c r="V133" s="527" t="n"/>
      <c r="W133" s="527" t="n"/>
      <c r="X133" s="527" t="n"/>
      <c r="Y133" s="527" t="n"/>
      <c r="Z133" s="527" t="n"/>
      <c r="AA133" s="527" t="n"/>
      <c r="AB133" s="527" t="n"/>
      <c r="AC133" s="527" t="n"/>
      <c r="AD133" s="527" t="n"/>
      <c r="AE133" s="527" t="n"/>
      <c r="AF133" s="527" t="n"/>
      <c r="AG133" s="527" t="n"/>
      <c r="AH133" s="527" t="n"/>
      <c r="AI133" s="527" t="n"/>
      <c r="AJ133" s="439">
        <f>SUM(E133:AH133)</f>
        <v/>
      </c>
      <c r="AK133" s="383">
        <f>AJ133*D133</f>
        <v/>
      </c>
    </row>
    <row r="134" ht="50" customHeight="1">
      <c r="A134" s="522" t="inlineStr">
        <is>
          <r>
            <t xml:space="preserve">5.เบิกและจัดเตรียมอุปกรณ์เพื่อใช้ในการเรียนการสอนของนิสิต </t>
          </r>
          <r>
            <rPr>
              <rFont val="TH SarabunPSK"/>
              <family val="2"/>
              <b val="1"/>
              <color rgb="FFFF0000"/>
              <sz val="16"/>
            </rPr>
            <t>(ก่อนสอน)</t>
          </r>
        </is>
      </c>
      <c r="B134" s="529" t="inlineStr">
        <is>
          <t>ครั้ง</t>
        </is>
      </c>
      <c r="C134" s="394" t="n">
        <v>60</v>
      </c>
      <c r="D134" s="377">
        <f>C134*0.071</f>
        <v/>
      </c>
      <c r="E134" s="527" t="n"/>
      <c r="F134" s="527" t="n"/>
      <c r="G134" s="527" t="n"/>
      <c r="H134" s="527" t="n"/>
      <c r="I134" s="527" t="n"/>
      <c r="J134" s="527" t="n"/>
      <c r="K134" s="527" t="n"/>
      <c r="L134" s="527" t="n"/>
      <c r="M134" s="527" t="n"/>
      <c r="N134" s="527" t="n"/>
      <c r="O134" s="527" t="n"/>
      <c r="P134" s="527" t="n"/>
      <c r="Q134" s="527" t="n"/>
      <c r="R134" s="527" t="n"/>
      <c r="S134" s="527" t="n"/>
      <c r="T134" s="527" t="n"/>
      <c r="U134" s="527" t="n"/>
      <c r="V134" s="527" t="n"/>
      <c r="W134" s="527" t="n"/>
      <c r="X134" s="527" t="n"/>
      <c r="Y134" s="527" t="n"/>
      <c r="Z134" s="527" t="n"/>
      <c r="AA134" s="527" t="n"/>
      <c r="AB134" s="527" t="n"/>
      <c r="AC134" s="527" t="n"/>
      <c r="AD134" s="527" t="n"/>
      <c r="AE134" s="527" t="n"/>
      <c r="AF134" s="527" t="n"/>
      <c r="AG134" s="527" t="n"/>
      <c r="AH134" s="527" t="n"/>
      <c r="AI134" s="527" t="n"/>
      <c r="AJ134" s="439">
        <f>SUM(E134:AH134)</f>
        <v/>
      </c>
      <c r="AK134" s="383">
        <f>AJ134*D134</f>
        <v/>
      </c>
    </row>
    <row r="135" ht="50" customHeight="1">
      <c r="A135" s="522" t="inlineStr">
        <is>
          <r>
            <t xml:space="preserve">6.เบิกและจัดเตรียมอุปกรณ์เพื่อใช้ในการเรียนการสอนของนิสิต </t>
          </r>
          <r>
            <rPr>
              <rFont val="TH SarabunPSK"/>
              <family val="2"/>
              <b val="1"/>
              <color rgb="FF00B050"/>
              <sz val="16"/>
            </rPr>
            <t>(หลังสอน)</t>
          </r>
        </is>
      </c>
      <c r="B135" s="529" t="inlineStr">
        <is>
          <t>ครั้ง</t>
        </is>
      </c>
      <c r="C135" s="394" t="n">
        <v>90</v>
      </c>
      <c r="D135" s="377">
        <f>C135*0.071</f>
        <v/>
      </c>
      <c r="E135" s="527" t="n"/>
      <c r="F135" s="527" t="n"/>
      <c r="G135" s="527" t="n"/>
      <c r="H135" s="527" t="n"/>
      <c r="I135" s="527" t="n"/>
      <c r="J135" s="527" t="n"/>
      <c r="K135" s="527" t="n"/>
      <c r="L135" s="527" t="n"/>
      <c r="M135" s="527" t="n"/>
      <c r="N135" s="527" t="n"/>
      <c r="O135" s="527" t="n"/>
      <c r="P135" s="527" t="n"/>
      <c r="Q135" s="527" t="n"/>
      <c r="R135" s="527" t="n"/>
      <c r="S135" s="527" t="n"/>
      <c r="T135" s="527" t="n"/>
      <c r="U135" s="527" t="n"/>
      <c r="V135" s="527" t="n"/>
      <c r="W135" s="527" t="n"/>
      <c r="X135" s="527" t="n"/>
      <c r="Y135" s="527" t="n"/>
      <c r="Z135" s="527" t="n"/>
      <c r="AA135" s="527" t="n"/>
      <c r="AB135" s="527" t="n"/>
      <c r="AC135" s="527" t="n"/>
      <c r="AD135" s="527" t="n"/>
      <c r="AE135" s="527" t="n"/>
      <c r="AF135" s="527" t="n"/>
      <c r="AG135" s="527" t="n"/>
      <c r="AH135" s="527" t="n"/>
      <c r="AI135" s="527" t="n"/>
      <c r="AJ135" s="439">
        <f>SUM(E135:AH135)</f>
        <v/>
      </c>
      <c r="AK135" s="383">
        <f>AJ135*D135</f>
        <v/>
      </c>
    </row>
    <row r="136" ht="50" customHeight="1">
      <c r="A136" s="522" t="inlineStr">
        <is>
          <t>7.เชคยอดนิสิต ดูแลและประสานงานนิสิตในการเข้าเรียน การลาเรียน</t>
        </is>
      </c>
      <c r="B136" s="529" t="inlineStr">
        <is>
          <t>ครั้ง</t>
        </is>
      </c>
      <c r="C136" s="394" t="n">
        <v>10</v>
      </c>
      <c r="D136" s="377">
        <f>C136*0.071</f>
        <v/>
      </c>
      <c r="E136" s="527" t="n"/>
      <c r="F136" s="527" t="n"/>
      <c r="G136" s="527" t="n"/>
      <c r="H136" s="527" t="n"/>
      <c r="I136" s="527" t="n"/>
      <c r="J136" s="527" t="n"/>
      <c r="K136" s="527" t="n"/>
      <c r="L136" s="527" t="n"/>
      <c r="M136" s="527" t="n"/>
      <c r="N136" s="527" t="n"/>
      <c r="O136" s="527" t="n"/>
      <c r="P136" s="527" t="n"/>
      <c r="Q136" s="527" t="n"/>
      <c r="R136" s="527" t="n"/>
      <c r="S136" s="527" t="n"/>
      <c r="T136" s="527" t="n"/>
      <c r="U136" s="527" t="n"/>
      <c r="V136" s="527" t="n"/>
      <c r="W136" s="527" t="n"/>
      <c r="X136" s="527" t="n"/>
      <c r="Y136" s="527" t="n"/>
      <c r="Z136" s="527" t="n"/>
      <c r="AA136" s="527" t="n"/>
      <c r="AB136" s="527" t="n"/>
      <c r="AC136" s="527" t="n"/>
      <c r="AD136" s="527" t="n"/>
      <c r="AE136" s="527" t="n"/>
      <c r="AF136" s="527" t="n"/>
      <c r="AG136" s="527" t="n"/>
      <c r="AH136" s="527" t="n"/>
      <c r="AI136" s="527" t="n"/>
      <c r="AJ136" s="439">
        <f>SUM(E136:AH136)</f>
        <v/>
      </c>
      <c r="AK136" s="383">
        <f>AJ136*D136</f>
        <v/>
      </c>
    </row>
    <row r="137" ht="25" customHeight="1">
      <c r="A137" s="522" t="inlineStr">
        <is>
          <t>8.นำข้อสอบ MCQ เข้าระบบสอบอิเลคทรอนิกส์</t>
        </is>
      </c>
      <c r="B137" s="529" t="inlineStr">
        <is>
          <t>วิชา</t>
        </is>
      </c>
      <c r="C137" s="394" t="n">
        <v>60</v>
      </c>
      <c r="D137" s="377">
        <f>C137*0.071</f>
        <v/>
      </c>
      <c r="E137" s="527" t="n"/>
      <c r="F137" s="527" t="n"/>
      <c r="G137" s="527" t="n"/>
      <c r="H137" s="527" t="n"/>
      <c r="I137" s="527" t="n"/>
      <c r="J137" s="527" t="n"/>
      <c r="K137" s="527" t="n"/>
      <c r="L137" s="527" t="n"/>
      <c r="M137" s="527" t="n"/>
      <c r="N137" s="527" t="n"/>
      <c r="O137" s="527" t="n"/>
      <c r="P137" s="527" t="n"/>
      <c r="Q137" s="527" t="n"/>
      <c r="R137" s="527" t="n"/>
      <c r="S137" s="527" t="n"/>
      <c r="T137" s="527" t="n"/>
      <c r="U137" s="527" t="n"/>
      <c r="V137" s="527" t="n"/>
      <c r="W137" s="527" t="n"/>
      <c r="X137" s="527" t="n"/>
      <c r="Y137" s="527" t="n"/>
      <c r="Z137" s="527" t="n"/>
      <c r="AA137" s="527" t="n"/>
      <c r="AB137" s="527" t="n"/>
      <c r="AC137" s="527" t="n"/>
      <c r="AD137" s="527" t="n"/>
      <c r="AE137" s="527" t="n"/>
      <c r="AF137" s="527" t="n"/>
      <c r="AG137" s="527" t="n"/>
      <c r="AH137" s="527" t="n"/>
      <c r="AI137" s="527" t="n"/>
      <c r="AJ137" s="439">
        <f>SUM(E137:AH137)</f>
        <v/>
      </c>
      <c r="AK137" s="383">
        <f>AJ137*D137</f>
        <v/>
      </c>
    </row>
    <row r="138" ht="25" customHeight="1">
      <c r="A138" s="522" t="inlineStr">
        <is>
          <t>9.จัดทำเอกสารข้อสอบ MEQ, CRQ, OSCE</t>
        </is>
      </c>
      <c r="B138" s="529" t="inlineStr">
        <is>
          <t>วิชา</t>
        </is>
      </c>
      <c r="C138" s="394" t="n">
        <v>60</v>
      </c>
      <c r="D138" s="377">
        <f>C138*0.071</f>
        <v/>
      </c>
      <c r="E138" s="527" t="n"/>
      <c r="F138" s="527" t="n"/>
      <c r="G138" s="527" t="n"/>
      <c r="H138" s="527" t="n"/>
      <c r="I138" s="527" t="n"/>
      <c r="J138" s="527" t="n"/>
      <c r="K138" s="527" t="n"/>
      <c r="L138" s="527" t="n"/>
      <c r="M138" s="527" t="n"/>
      <c r="N138" s="527" t="n"/>
      <c r="O138" s="527" t="n"/>
      <c r="P138" s="527" t="n"/>
      <c r="Q138" s="527" t="n"/>
      <c r="R138" s="527" t="n"/>
      <c r="S138" s="527" t="n"/>
      <c r="T138" s="527" t="n"/>
      <c r="U138" s="527" t="n"/>
      <c r="V138" s="527" t="n"/>
      <c r="W138" s="527" t="n"/>
      <c r="X138" s="527" t="n"/>
      <c r="Y138" s="527" t="n"/>
      <c r="Z138" s="527" t="n"/>
      <c r="AA138" s="527" t="n"/>
      <c r="AB138" s="527" t="n"/>
      <c r="AC138" s="527" t="n"/>
      <c r="AD138" s="527" t="n"/>
      <c r="AE138" s="527" t="n"/>
      <c r="AF138" s="527" t="n"/>
      <c r="AG138" s="527" t="n"/>
      <c r="AH138" s="527" t="n"/>
      <c r="AI138" s="527" t="n"/>
      <c r="AJ138" s="439">
        <f>SUM(E138:AH138)</f>
        <v/>
      </c>
      <c r="AK138" s="383">
        <f>AJ138*D138</f>
        <v/>
      </c>
    </row>
    <row r="139" ht="25" customHeight="1">
      <c r="A139" s="530" t="inlineStr">
        <is>
          <t>10.รวบรวมคะแนน ตัดเกรด (ไม่เกิน 2 วันต่อรายวิชา)</t>
        </is>
      </c>
      <c r="B139" s="529" t="inlineStr">
        <is>
          <t>วิชา</t>
        </is>
      </c>
      <c r="C139" s="394" t="inlineStr">
        <is>
          <t>เหมา/วัน</t>
        </is>
      </c>
      <c r="D139" s="394" t="n">
        <v>60</v>
      </c>
      <c r="E139" s="527" t="n"/>
      <c r="F139" s="527" t="n"/>
      <c r="G139" s="527" t="n"/>
      <c r="H139" s="527" t="n"/>
      <c r="I139" s="527" t="n"/>
      <c r="J139" s="527" t="n"/>
      <c r="K139" s="527" t="n"/>
      <c r="L139" s="527" t="n"/>
      <c r="M139" s="527" t="n"/>
      <c r="N139" s="527" t="n"/>
      <c r="O139" s="527" t="n"/>
      <c r="P139" s="527" t="n"/>
      <c r="Q139" s="527" t="n"/>
      <c r="R139" s="527" t="n"/>
      <c r="S139" s="527" t="n"/>
      <c r="T139" s="527" t="n"/>
      <c r="U139" s="527" t="n"/>
      <c r="V139" s="527" t="n"/>
      <c r="W139" s="527" t="n"/>
      <c r="X139" s="527" t="n"/>
      <c r="Y139" s="527" t="n"/>
      <c r="Z139" s="527" t="n"/>
      <c r="AA139" s="527" t="n"/>
      <c r="AB139" s="527" t="n"/>
      <c r="AC139" s="527" t="n"/>
      <c r="AD139" s="527" t="n"/>
      <c r="AE139" s="527" t="n"/>
      <c r="AF139" s="527" t="n"/>
      <c r="AG139" s="527" t="n"/>
      <c r="AH139" s="527" t="n"/>
      <c r="AI139" s="527" t="n"/>
      <c r="AJ139" s="439">
        <f>SUM(E139:AH139)</f>
        <v/>
      </c>
      <c r="AK139" s="383">
        <f>AJ139*D139</f>
        <v/>
      </c>
    </row>
    <row r="140" ht="50" customHeight="1">
      <c r="A140" s="530" t="inlineStr">
        <is>
          <t>11.เตรียมเอกสาร ไฟล์ประกอบการสอน</t>
        </is>
      </c>
      <c r="B140" s="529" t="inlineStr">
        <is>
          <t>เอกสาร</t>
        </is>
      </c>
      <c r="C140" s="394" t="n">
        <v>10</v>
      </c>
      <c r="D140" s="377">
        <f>C140*0.071</f>
        <v/>
      </c>
      <c r="E140" s="527" t="n"/>
      <c r="F140" s="527" t="n"/>
      <c r="G140" s="527" t="n"/>
      <c r="H140" s="527" t="n"/>
      <c r="I140" s="527" t="n"/>
      <c r="J140" s="527" t="n"/>
      <c r="K140" s="527" t="n"/>
      <c r="L140" s="527" t="n"/>
      <c r="M140" s="527" t="n"/>
      <c r="N140" s="527" t="n"/>
      <c r="O140" s="527" t="n"/>
      <c r="P140" s="527" t="n"/>
      <c r="Q140" s="527" t="n"/>
      <c r="R140" s="527" t="n"/>
      <c r="S140" s="527" t="n"/>
      <c r="T140" s="527" t="n"/>
      <c r="U140" s="527" t="n"/>
      <c r="V140" s="527" t="n"/>
      <c r="W140" s="527" t="n"/>
      <c r="X140" s="527" t="n"/>
      <c r="Y140" s="527" t="n"/>
      <c r="Z140" s="527" t="n"/>
      <c r="AA140" s="527" t="n"/>
      <c r="AB140" s="527" t="n"/>
      <c r="AC140" s="527" t="n"/>
      <c r="AD140" s="527" t="n"/>
      <c r="AE140" s="527" t="n"/>
      <c r="AF140" s="527" t="n"/>
      <c r="AG140" s="527" t="n"/>
      <c r="AH140" s="527" t="n"/>
      <c r="AI140" s="527" t="n"/>
      <c r="AJ140" s="439">
        <f>SUM(E140:AH140)</f>
        <v/>
      </c>
      <c r="AK140" s="383">
        <f>AJ140*D140</f>
        <v/>
      </c>
    </row>
    <row r="141" ht="50" customHeight="1">
      <c r="A141" s="530" t="inlineStr">
        <is>
          <t>12.ปรับเอกสาร ไฟล์ประกอบการสอน</t>
        </is>
      </c>
      <c r="B141" s="529" t="inlineStr">
        <is>
          <t>เอกสาร</t>
        </is>
      </c>
      <c r="C141" s="394" t="n">
        <v>30</v>
      </c>
      <c r="D141" s="377">
        <f>C141*0.071</f>
        <v/>
      </c>
      <c r="E141" s="527" t="n"/>
      <c r="F141" s="527" t="n"/>
      <c r="G141" s="527" t="n"/>
      <c r="H141" s="527" t="n"/>
      <c r="I141" s="527" t="n"/>
      <c r="J141" s="527" t="n"/>
      <c r="K141" s="527" t="n"/>
      <c r="L141" s="527" t="n"/>
      <c r="M141" s="527" t="n"/>
      <c r="N141" s="527" t="n"/>
      <c r="O141" s="527" t="n"/>
      <c r="P141" s="527" t="n"/>
      <c r="Q141" s="527" t="n"/>
      <c r="R141" s="527" t="n"/>
      <c r="S141" s="527" t="n"/>
      <c r="T141" s="527" t="n"/>
      <c r="U141" s="527" t="n"/>
      <c r="V141" s="527" t="n"/>
      <c r="W141" s="527" t="n"/>
      <c r="X141" s="527" t="n"/>
      <c r="Y141" s="527" t="n"/>
      <c r="Z141" s="527" t="n"/>
      <c r="AA141" s="527" t="n"/>
      <c r="AB141" s="527" t="n"/>
      <c r="AC141" s="527" t="n"/>
      <c r="AD141" s="527" t="n"/>
      <c r="AE141" s="527" t="n"/>
      <c r="AF141" s="527" t="n"/>
      <c r="AG141" s="527" t="n"/>
      <c r="AH141" s="527" t="n"/>
      <c r="AI141" s="527" t="n"/>
      <c r="AJ141" s="439">
        <f>SUM(E141:AH141)</f>
        <v/>
      </c>
      <c r="AK141" s="383">
        <f>AJ141*D141</f>
        <v/>
      </c>
    </row>
    <row r="142" ht="25" customHeight="1">
      <c r="A142" s="530" t="inlineStr">
        <is>
          <t>13.จัดห้องสอบปกติและการสอบซ่อม</t>
        </is>
      </c>
      <c r="B142" s="394" t="inlineStr">
        <is>
          <t>ครั้ง</t>
        </is>
      </c>
      <c r="C142" s="394" t="n">
        <v>30</v>
      </c>
      <c r="D142" s="377">
        <f>C142*0.071</f>
        <v/>
      </c>
      <c r="E142" s="527" t="n"/>
      <c r="F142" s="527" t="n"/>
      <c r="G142" s="527" t="n"/>
      <c r="H142" s="527" t="n"/>
      <c r="I142" s="527" t="n"/>
      <c r="J142" s="527" t="n"/>
      <c r="K142" s="527" t="n"/>
      <c r="L142" s="527" t="n"/>
      <c r="M142" s="527" t="n"/>
      <c r="N142" s="527" t="n"/>
      <c r="O142" s="527" t="n"/>
      <c r="P142" s="527" t="n"/>
      <c r="Q142" s="527" t="n"/>
      <c r="R142" s="527" t="n"/>
      <c r="S142" s="527" t="n"/>
      <c r="T142" s="527" t="n"/>
      <c r="U142" s="527" t="n"/>
      <c r="V142" s="527" t="n"/>
      <c r="W142" s="527" t="n"/>
      <c r="X142" s="527" t="n"/>
      <c r="Y142" s="527" t="n"/>
      <c r="Z142" s="527" t="n"/>
      <c r="AA142" s="527" t="n"/>
      <c r="AB142" s="527" t="n"/>
      <c r="AC142" s="527" t="n"/>
      <c r="AD142" s="527" t="n"/>
      <c r="AE142" s="527" t="n"/>
      <c r="AF142" s="527" t="n"/>
      <c r="AG142" s="527" t="n"/>
      <c r="AH142" s="527" t="n"/>
      <c r="AI142" s="527" t="n"/>
      <c r="AJ142" s="439">
        <f>SUM(E142:AH142)</f>
        <v/>
      </c>
      <c r="AK142" s="383">
        <f>AJ142*D142</f>
        <v/>
      </c>
    </row>
    <row r="143" ht="25" customHeight="1">
      <c r="A143" s="530" t="inlineStr">
        <is>
          <t>14.คุมสอบข้อเขียน</t>
        </is>
      </c>
      <c r="B143" s="394" t="inlineStr">
        <is>
          <t>ครั้ง</t>
        </is>
      </c>
      <c r="C143" s="394" t="n">
        <v>90</v>
      </c>
      <c r="D143" s="377">
        <f>C143*0.071</f>
        <v/>
      </c>
      <c r="E143" s="527" t="n"/>
      <c r="F143" s="527" t="n"/>
      <c r="G143" s="527" t="n"/>
      <c r="H143" s="527" t="n"/>
      <c r="I143" s="527" t="n"/>
      <c r="J143" s="527" t="n"/>
      <c r="K143" s="527" t="n"/>
      <c r="L143" s="527" t="n"/>
      <c r="M143" s="527" t="n"/>
      <c r="N143" s="527" t="n"/>
      <c r="O143" s="527" t="n"/>
      <c r="P143" s="527" t="n"/>
      <c r="Q143" s="527" t="n"/>
      <c r="R143" s="527" t="n"/>
      <c r="S143" s="527" t="n"/>
      <c r="T143" s="527" t="n"/>
      <c r="U143" s="527" t="n"/>
      <c r="V143" s="527" t="n"/>
      <c r="W143" s="527" t="n"/>
      <c r="X143" s="527" t="n"/>
      <c r="Y143" s="527" t="n"/>
      <c r="Z143" s="527" t="n"/>
      <c r="AA143" s="527" t="n"/>
      <c r="AB143" s="527" t="n"/>
      <c r="AC143" s="527" t="n"/>
      <c r="AD143" s="527" t="n"/>
      <c r="AE143" s="527" t="n"/>
      <c r="AF143" s="527" t="n"/>
      <c r="AG143" s="527" t="n"/>
      <c r="AH143" s="527" t="n"/>
      <c r="AI143" s="527" t="n"/>
      <c r="AJ143" s="439">
        <f>SUM(E143:AH143)</f>
        <v/>
      </c>
      <c r="AK143" s="383">
        <f>AJ143*D143</f>
        <v/>
      </c>
    </row>
    <row r="144" ht="25" customHeight="1">
      <c r="A144" s="530" t="inlineStr">
        <is>
          <t>15.คุมสอบ OSCE</t>
        </is>
      </c>
      <c r="B144" s="394" t="inlineStr">
        <is>
          <t>ครั้ง</t>
        </is>
      </c>
      <c r="C144" s="394" t="inlineStr">
        <is>
          <t>เหมาวัน</t>
        </is>
      </c>
      <c r="D144" s="394" t="n">
        <v>30</v>
      </c>
      <c r="E144" s="527" t="n"/>
      <c r="F144" s="527" t="n"/>
      <c r="G144" s="527" t="n"/>
      <c r="H144" s="527" t="n"/>
      <c r="I144" s="527" t="n"/>
      <c r="J144" s="527" t="n"/>
      <c r="K144" s="527" t="n"/>
      <c r="L144" s="527" t="n"/>
      <c r="M144" s="527" t="n"/>
      <c r="N144" s="527" t="n"/>
      <c r="O144" s="527" t="n"/>
      <c r="P144" s="527" t="n"/>
      <c r="Q144" s="527" t="n"/>
      <c r="R144" s="527" t="n"/>
      <c r="S144" s="527" t="n"/>
      <c r="T144" s="527" t="n"/>
      <c r="U144" s="527" t="n"/>
      <c r="V144" s="527" t="n"/>
      <c r="W144" s="527" t="n"/>
      <c r="X144" s="527" t="n"/>
      <c r="Y144" s="527" t="n"/>
      <c r="Z144" s="527" t="n"/>
      <c r="AA144" s="527" t="n"/>
      <c r="AB144" s="527" t="n"/>
      <c r="AC144" s="527" t="n"/>
      <c r="AD144" s="527" t="n"/>
      <c r="AE144" s="527" t="n"/>
      <c r="AF144" s="527" t="n"/>
      <c r="AG144" s="527" t="n"/>
      <c r="AH144" s="527" t="n"/>
      <c r="AI144" s="527" t="n"/>
      <c r="AJ144" s="439">
        <f>SUM(E144:AH144)</f>
        <v/>
      </c>
      <c r="AK144" s="383">
        <f>AJ144*D144</f>
        <v/>
      </c>
    </row>
    <row r="145" ht="25" customHeight="1">
      <c r="A145" s="530" t="inlineStr">
        <is>
          <t>16.จัดทำ มคอ. 5 (วิชาละ 1 เล่ม/ปี)</t>
        </is>
      </c>
      <c r="B145" s="394" t="inlineStr">
        <is>
          <t>วิชา</t>
        </is>
      </c>
      <c r="C145" s="394" t="n">
        <v>60</v>
      </c>
      <c r="D145" s="377">
        <f>C145*0.071</f>
        <v/>
      </c>
      <c r="E145" s="527" t="n"/>
      <c r="F145" s="527" t="n"/>
      <c r="G145" s="527" t="n"/>
      <c r="H145" s="527" t="n"/>
      <c r="I145" s="527" t="n"/>
      <c r="J145" s="527" t="n"/>
      <c r="K145" s="527" t="n"/>
      <c r="L145" s="527" t="n"/>
      <c r="M145" s="527" t="n"/>
      <c r="N145" s="527" t="n"/>
      <c r="O145" s="527" t="n"/>
      <c r="P145" s="527" t="n"/>
      <c r="Q145" s="527" t="n"/>
      <c r="R145" s="527" t="n"/>
      <c r="S145" s="527" t="n"/>
      <c r="T145" s="527" t="n"/>
      <c r="U145" s="527" t="n"/>
      <c r="V145" s="527" t="n"/>
      <c r="W145" s="527" t="n"/>
      <c r="X145" s="527" t="n"/>
      <c r="Y145" s="527" t="n"/>
      <c r="Z145" s="527" t="n"/>
      <c r="AA145" s="527" t="n"/>
      <c r="AB145" s="527" t="n"/>
      <c r="AC145" s="527" t="n"/>
      <c r="AD145" s="527" t="n"/>
      <c r="AE145" s="527" t="n"/>
      <c r="AF145" s="527" t="n"/>
      <c r="AG145" s="527" t="n"/>
      <c r="AH145" s="527" t="n"/>
      <c r="AI145" s="527" t="n"/>
      <c r="AJ145" s="439">
        <f>SUM(E145:AH145)</f>
        <v/>
      </c>
      <c r="AK145" s="383">
        <f>AJ145*D145</f>
        <v/>
      </c>
    </row>
    <row r="146" ht="25" customHeight="1">
      <c r="A146" s="531" t="inlineStr">
        <is>
          <t>17.จัดทำเอกสารในกรณีที่มีการอุทธรณ์ของนิสิต</t>
        </is>
      </c>
      <c r="B146" s="532" t="inlineStr">
        <is>
          <t>วิชา</t>
        </is>
      </c>
      <c r="C146" s="532" t="n">
        <v>60</v>
      </c>
      <c r="D146" s="533">
        <f>C146*0.071</f>
        <v/>
      </c>
      <c r="E146" s="534" t="n"/>
      <c r="F146" s="534" t="n"/>
      <c r="G146" s="534" t="n"/>
      <c r="H146" s="534" t="n"/>
      <c r="I146" s="534" t="n"/>
      <c r="J146" s="534" t="n"/>
      <c r="K146" s="534" t="n"/>
      <c r="L146" s="534" t="n"/>
      <c r="M146" s="534" t="n"/>
      <c r="N146" s="534" t="n"/>
      <c r="O146" s="534" t="n"/>
      <c r="P146" s="534" t="n"/>
      <c r="Q146" s="534" t="n"/>
      <c r="R146" s="534" t="n"/>
      <c r="S146" s="534" t="n"/>
      <c r="T146" s="534" t="n"/>
      <c r="U146" s="534" t="n"/>
      <c r="V146" s="534" t="n"/>
      <c r="W146" s="534" t="n"/>
      <c r="X146" s="534" t="n"/>
      <c r="Y146" s="534" t="n"/>
      <c r="Z146" s="534" t="n"/>
      <c r="AA146" s="534" t="n"/>
      <c r="AB146" s="534" t="n"/>
      <c r="AC146" s="534" t="n"/>
      <c r="AD146" s="534" t="n"/>
      <c r="AE146" s="534" t="n"/>
      <c r="AF146" s="534" t="n"/>
      <c r="AG146" s="534" t="n"/>
      <c r="AH146" s="534" t="n"/>
      <c r="AI146" s="534" t="n"/>
      <c r="AJ146" s="595">
        <f>SUM(E146:AH146)</f>
        <v/>
      </c>
      <c r="AK146" s="604">
        <f>AJ146*D146</f>
        <v/>
      </c>
    </row>
    <row r="147" ht="25" customHeight="1">
      <c r="A147" s="521" t="inlineStr">
        <is>
          <t>งานบริการห้องเรียนและห้องประชุมและโสตทัศนูปกรณ์</t>
        </is>
      </c>
      <c r="B147" s="618" t="n"/>
      <c r="C147" s="596" t="n"/>
      <c r="D147" s="596" t="n"/>
      <c r="E147" s="517" t="n"/>
      <c r="F147" s="517" t="n"/>
      <c r="G147" s="517" t="n"/>
      <c r="H147" s="517" t="n"/>
      <c r="I147" s="517" t="n"/>
      <c r="J147" s="517" t="n"/>
      <c r="K147" s="517" t="n"/>
      <c r="L147" s="517" t="n"/>
      <c r="M147" s="517" t="n"/>
      <c r="N147" s="517" t="n"/>
      <c r="O147" s="517" t="n"/>
      <c r="P147" s="517" t="n"/>
      <c r="Q147" s="517" t="n"/>
      <c r="R147" s="517" t="n"/>
      <c r="S147" s="517" t="n"/>
      <c r="T147" s="517" t="n"/>
      <c r="U147" s="517" t="n"/>
      <c r="V147" s="517" t="n"/>
      <c r="W147" s="517" t="n"/>
      <c r="X147" s="517" t="n"/>
      <c r="Y147" s="517" t="n"/>
      <c r="Z147" s="517" t="n"/>
      <c r="AA147" s="517" t="n"/>
      <c r="AB147" s="517" t="n"/>
      <c r="AC147" s="517" t="n"/>
      <c r="AD147" s="517" t="n"/>
      <c r="AE147" s="517" t="n"/>
      <c r="AF147" s="517" t="n"/>
      <c r="AG147" s="517" t="n"/>
      <c r="AH147" s="517" t="n"/>
      <c r="AI147" s="517" t="n"/>
      <c r="AJ147" s="596" t="n"/>
      <c r="AK147" s="619" t="n"/>
    </row>
    <row r="148" ht="50" customHeight="1">
      <c r="A148" s="535" t="inlineStr">
        <is>
          <t>1.เตรียมห้องเรียนหรือห้องประชุมในการเรียนการสอน (2 รอบต่อวัน)</t>
        </is>
      </c>
      <c r="B148" s="523" t="inlineStr">
        <is>
          <t>รอบ</t>
        </is>
      </c>
      <c r="C148" s="523" t="n">
        <v>15</v>
      </c>
      <c r="D148" s="536">
        <f>C148*0.071</f>
        <v/>
      </c>
      <c r="E148" s="524" t="n"/>
      <c r="F148" s="524" t="n"/>
      <c r="G148" s="524" t="n"/>
      <c r="H148" s="524" t="n"/>
      <c r="I148" s="524" t="n"/>
      <c r="J148" s="524" t="n"/>
      <c r="K148" s="524" t="n"/>
      <c r="L148" s="524" t="n"/>
      <c r="M148" s="524" t="n"/>
      <c r="N148" s="524" t="n"/>
      <c r="O148" s="524" t="n"/>
      <c r="P148" s="524" t="n"/>
      <c r="Q148" s="524" t="n"/>
      <c r="R148" s="524" t="n"/>
      <c r="S148" s="524" t="n"/>
      <c r="T148" s="524" t="n"/>
      <c r="U148" s="524" t="n"/>
      <c r="V148" s="524" t="n"/>
      <c r="W148" s="524" t="n"/>
      <c r="X148" s="524" t="n"/>
      <c r="Y148" s="524" t="n"/>
      <c r="Z148" s="524" t="n"/>
      <c r="AA148" s="524" t="n"/>
      <c r="AB148" s="524" t="n"/>
      <c r="AC148" s="524" t="n"/>
      <c r="AD148" s="524" t="n"/>
      <c r="AE148" s="524" t="n"/>
      <c r="AF148" s="524" t="n"/>
      <c r="AG148" s="524" t="n"/>
      <c r="AH148" s="524" t="n"/>
      <c r="AI148" s="524" t="n"/>
      <c r="AJ148" s="594">
        <f>SUM(E148:AH148)</f>
        <v/>
      </c>
      <c r="AK148" s="603">
        <f>AJ148*D148</f>
        <v/>
      </c>
    </row>
    <row r="149" ht="50" customHeight="1">
      <c r="A149" s="537" t="inlineStr">
        <is>
          <t>2.จัดเตรียมสถานที่อุปกรณ์ สนับสนุนการสอบ MCQ หรือ MEQ แพทย์ นิสิตแพทย์</t>
        </is>
      </c>
      <c r="B149" s="394" t="inlineStr">
        <is>
          <t>ครั้ง</t>
        </is>
      </c>
      <c r="C149" s="394" t="n">
        <v>15</v>
      </c>
      <c r="D149" s="377">
        <f>C149*0.071</f>
        <v/>
      </c>
      <c r="E149" s="527" t="n"/>
      <c r="F149" s="527" t="n"/>
      <c r="G149" s="527" t="n"/>
      <c r="H149" s="527" t="n"/>
      <c r="I149" s="527" t="n"/>
      <c r="J149" s="527" t="n"/>
      <c r="K149" s="527" t="n"/>
      <c r="L149" s="527" t="n"/>
      <c r="M149" s="527" t="n"/>
      <c r="N149" s="527" t="n"/>
      <c r="O149" s="527" t="n"/>
      <c r="P149" s="527" t="n"/>
      <c r="Q149" s="527" t="n"/>
      <c r="R149" s="527" t="n"/>
      <c r="S149" s="527" t="n"/>
      <c r="T149" s="527" t="n"/>
      <c r="U149" s="527" t="n"/>
      <c r="V149" s="527" t="n"/>
      <c r="W149" s="527" t="n"/>
      <c r="X149" s="527" t="n"/>
      <c r="Y149" s="527" t="n"/>
      <c r="Z149" s="527" t="n"/>
      <c r="AA149" s="527" t="n"/>
      <c r="AB149" s="527" t="n"/>
      <c r="AC149" s="527" t="n"/>
      <c r="AD149" s="527" t="n"/>
      <c r="AE149" s="527" t="n"/>
      <c r="AF149" s="527" t="n"/>
      <c r="AG149" s="527" t="n"/>
      <c r="AH149" s="527" t="n"/>
      <c r="AI149" s="527" t="n"/>
      <c r="AJ149" s="594">
        <f>SUM(E149:AH149)</f>
        <v/>
      </c>
      <c r="AK149" s="603">
        <f>AJ149*D149</f>
        <v/>
      </c>
    </row>
    <row r="150" ht="25" customHeight="1">
      <c r="A150" s="538" t="inlineStr">
        <is>
          <t>3.พัฒนาแอปพลิเคชันระบบฐานข้อมูลจองห้องเรียน</t>
        </is>
      </c>
      <c r="B150" s="394" t="inlineStr">
        <is>
          <t>วัน</t>
        </is>
      </c>
      <c r="C150" s="394" t="inlineStr">
        <is>
          <t>เหมา</t>
        </is>
      </c>
      <c r="D150" s="539" t="n">
        <v>30</v>
      </c>
      <c r="E150" s="527" t="n"/>
      <c r="F150" s="527" t="n"/>
      <c r="G150" s="527" t="n"/>
      <c r="H150" s="527" t="n"/>
      <c r="I150" s="527" t="n"/>
      <c r="J150" s="527" t="n"/>
      <c r="K150" s="527" t="n"/>
      <c r="L150" s="527" t="n"/>
      <c r="M150" s="527" t="n"/>
      <c r="N150" s="527" t="n"/>
      <c r="O150" s="527" t="n"/>
      <c r="P150" s="527" t="n"/>
      <c r="Q150" s="527" t="n"/>
      <c r="R150" s="527" t="n"/>
      <c r="S150" s="527" t="n"/>
      <c r="T150" s="527" t="n"/>
      <c r="U150" s="527" t="n"/>
      <c r="V150" s="527" t="n"/>
      <c r="W150" s="527" t="n"/>
      <c r="X150" s="527" t="n"/>
      <c r="Y150" s="527" t="n"/>
      <c r="Z150" s="527" t="n"/>
      <c r="AA150" s="527" t="n"/>
      <c r="AB150" s="527" t="n"/>
      <c r="AC150" s="527" t="n"/>
      <c r="AD150" s="527" t="n"/>
      <c r="AE150" s="527" t="n"/>
      <c r="AF150" s="527" t="n"/>
      <c r="AG150" s="527" t="n"/>
      <c r="AH150" s="527" t="n"/>
      <c r="AI150" s="527" t="n"/>
      <c r="AJ150" s="594">
        <f>SUM(E150:AH150)</f>
        <v/>
      </c>
      <c r="AK150" s="603">
        <f>AJ150*D150</f>
        <v/>
      </c>
    </row>
    <row r="151" ht="50" customHeight="1">
      <c r="A151" s="538" t="inlineStr">
        <is>
          <t>4.ให้ความช่วยเหลือและแนะนำการแก้ปัญหาการใช้งานห้องเรียนและโสตทัศนูปกรณ์แก่ผู้ใช้งานห้องเรียน</t>
        </is>
      </c>
      <c r="B151" s="394" t="inlineStr">
        <is>
          <t>ครั้ง</t>
        </is>
      </c>
      <c r="C151" s="394" t="n">
        <v>10</v>
      </c>
      <c r="D151" s="377">
        <f>C151*0.071</f>
        <v/>
      </c>
      <c r="E151" s="527" t="n"/>
      <c r="F151" s="527" t="n"/>
      <c r="G151" s="527" t="n"/>
      <c r="H151" s="527" t="n"/>
      <c r="I151" s="527" t="n"/>
      <c r="J151" s="527" t="n"/>
      <c r="K151" s="527" t="n"/>
      <c r="L151" s="527" t="n"/>
      <c r="M151" s="527" t="n"/>
      <c r="N151" s="527" t="n"/>
      <c r="O151" s="527" t="n"/>
      <c r="P151" s="527" t="n"/>
      <c r="Q151" s="527" t="n"/>
      <c r="R151" s="527" t="n"/>
      <c r="S151" s="527" t="n"/>
      <c r="T151" s="527" t="n"/>
      <c r="U151" s="527" t="n"/>
      <c r="V151" s="527" t="n"/>
      <c r="W151" s="527" t="n"/>
      <c r="X151" s="527" t="n"/>
      <c r="Y151" s="527" t="n"/>
      <c r="Z151" s="527" t="n"/>
      <c r="AA151" s="527" t="n"/>
      <c r="AB151" s="527" t="n"/>
      <c r="AC151" s="527" t="n"/>
      <c r="AD151" s="527" t="n"/>
      <c r="AE151" s="527" t="n"/>
      <c r="AF151" s="527" t="n"/>
      <c r="AG151" s="527" t="n"/>
      <c r="AH151" s="527" t="n"/>
      <c r="AI151" s="527" t="n"/>
      <c r="AJ151" s="594">
        <f>SUM(E151:AH151)</f>
        <v/>
      </c>
      <c r="AK151" s="603">
        <f>AJ151*D151</f>
        <v/>
      </c>
    </row>
    <row r="152" ht="25" customHeight="1">
      <c r="A152" s="538" t="inlineStr">
        <is>
          <t>5.ดูแลและจัดการ app ระบบจองห้องเรียน และโสตทัศนูปกรณ์</t>
        </is>
      </c>
      <c r="B152" s="532" t="inlineStr">
        <is>
          <t>ครั้ง</t>
        </is>
      </c>
      <c r="C152" s="532" t="n">
        <v>5</v>
      </c>
      <c r="D152" s="540">
        <f>C152*0.071</f>
        <v/>
      </c>
      <c r="E152" s="534" t="n"/>
      <c r="F152" s="534" t="n"/>
      <c r="G152" s="534" t="n"/>
      <c r="H152" s="534" t="n"/>
      <c r="I152" s="534" t="n"/>
      <c r="J152" s="534" t="n"/>
      <c r="K152" s="534" t="n"/>
      <c r="L152" s="534" t="n"/>
      <c r="M152" s="534" t="n"/>
      <c r="N152" s="534" t="n"/>
      <c r="O152" s="534" t="n"/>
      <c r="P152" s="534" t="n"/>
      <c r="Q152" s="534" t="n"/>
      <c r="R152" s="534" t="n"/>
      <c r="S152" s="534" t="n"/>
      <c r="T152" s="534" t="n"/>
      <c r="U152" s="534" t="n"/>
      <c r="V152" s="534" t="n"/>
      <c r="W152" s="534" t="n"/>
      <c r="X152" s="534" t="n"/>
      <c r="Y152" s="534" t="n"/>
      <c r="Z152" s="534" t="n"/>
      <c r="AA152" s="534" t="n"/>
      <c r="AB152" s="534" t="n"/>
      <c r="AC152" s="534" t="n"/>
      <c r="AD152" s="534" t="n"/>
      <c r="AE152" s="534" t="n"/>
      <c r="AF152" s="534" t="n"/>
      <c r="AG152" s="534" t="n"/>
      <c r="AH152" s="534" t="n"/>
      <c r="AI152" s="534" t="n"/>
      <c r="AJ152" s="597">
        <f>SUM(E152:AH152)</f>
        <v/>
      </c>
      <c r="AK152" s="605">
        <f>AJ152*D152</f>
        <v/>
      </c>
    </row>
    <row r="153" ht="25" customHeight="1">
      <c r="A153" s="521" t="inlineStr">
        <is>
          <t>งานบริการห้องฝึกหัตถการและสถานการณ์จำลองทางคลินิก</t>
        </is>
      </c>
      <c r="B153" s="610" t="n"/>
      <c r="C153" s="611" t="n"/>
      <c r="D153" s="612" t="n"/>
      <c r="E153" s="517" t="n"/>
      <c r="F153" s="517" t="n"/>
      <c r="G153" s="517" t="n"/>
      <c r="H153" s="517" t="n"/>
      <c r="I153" s="517" t="n"/>
      <c r="J153" s="517" t="n"/>
      <c r="K153" s="517" t="n"/>
      <c r="L153" s="517" t="n"/>
      <c r="M153" s="517" t="n"/>
      <c r="N153" s="517" t="n"/>
      <c r="O153" s="517" t="n"/>
      <c r="P153" s="517" t="n"/>
      <c r="Q153" s="517" t="n"/>
      <c r="R153" s="517" t="n"/>
      <c r="S153" s="517" t="n"/>
      <c r="T153" s="517" t="n"/>
      <c r="U153" s="517" t="n"/>
      <c r="V153" s="517" t="n"/>
      <c r="W153" s="517" t="n"/>
      <c r="X153" s="517" t="n"/>
      <c r="Y153" s="517" t="n"/>
      <c r="Z153" s="517" t="n"/>
      <c r="AA153" s="517" t="n"/>
      <c r="AB153" s="517" t="n"/>
      <c r="AC153" s="517" t="n"/>
      <c r="AD153" s="517" t="n"/>
      <c r="AE153" s="517" t="n"/>
      <c r="AF153" s="517" t="n"/>
      <c r="AG153" s="517" t="n"/>
      <c r="AH153" s="517" t="n"/>
      <c r="AI153" s="592" t="n"/>
      <c r="AJ153" s="593" t="n"/>
      <c r="AK153" s="613" t="n"/>
    </row>
    <row r="154" ht="50" customHeight="1">
      <c r="A154" s="530" t="inlineStr">
        <is>
          <r>
            <t>1.เตรียม/จัดเก็บ</t>
          </r>
          <r>
            <rPr>
              <rFont val="TH SarabunPSK"/>
              <family val="2"/>
              <b val="1"/>
              <color theme="1"/>
              <sz val="16"/>
            </rPr>
            <t>ห้องฝึกหัตถการ</t>
          </r>
          <r>
            <rPr>
              <rFont val="TH SarabunPSK"/>
              <family val="2"/>
              <color theme="1"/>
              <sz val="16"/>
            </rPr>
            <t xml:space="preserve"> หรือสอบหัตถการทางคลินิก รายสถานการณ์</t>
          </r>
        </is>
      </c>
      <c r="B154" s="523" t="inlineStr">
        <is>
          <t>ครั้ง</t>
        </is>
      </c>
      <c r="C154" s="523" t="n">
        <v>45</v>
      </c>
      <c r="D154" s="536">
        <f>C154*0.071</f>
        <v/>
      </c>
      <c r="E154" s="524" t="n"/>
      <c r="F154" s="524" t="n"/>
      <c r="G154" s="524" t="n"/>
      <c r="H154" s="524" t="n"/>
      <c r="I154" s="524" t="n"/>
      <c r="J154" s="524" t="n"/>
      <c r="K154" s="524" t="n"/>
      <c r="L154" s="524" t="n"/>
      <c r="M154" s="524" t="n"/>
      <c r="N154" s="524" t="n"/>
      <c r="O154" s="524" t="n"/>
      <c r="P154" s="524" t="n"/>
      <c r="Q154" s="524" t="n"/>
      <c r="R154" s="524" t="n"/>
      <c r="S154" s="524" t="n"/>
      <c r="T154" s="524" t="n"/>
      <c r="U154" s="524" t="n"/>
      <c r="V154" s="524" t="n"/>
      <c r="W154" s="524" t="n"/>
      <c r="X154" s="524" t="n"/>
      <c r="Y154" s="524" t="n"/>
      <c r="Z154" s="524" t="n"/>
      <c r="AA154" s="524" t="n"/>
      <c r="AB154" s="524" t="n"/>
      <c r="AC154" s="524" t="n"/>
      <c r="AD154" s="524" t="n"/>
      <c r="AE154" s="524" t="n"/>
      <c r="AF154" s="524" t="n"/>
      <c r="AG154" s="524" t="n"/>
      <c r="AH154" s="524" t="n"/>
      <c r="AI154" s="524" t="n"/>
      <c r="AJ154" s="594">
        <f>SUM(E154:AH154)</f>
        <v/>
      </c>
      <c r="AK154" s="603">
        <f>AJ154*D154</f>
        <v/>
      </c>
    </row>
    <row r="155" ht="50" customHeight="1">
      <c r="A155" s="530" t="inlineStr">
        <is>
          <r>
            <t>2.เตรียม/จัดเก็บ</t>
          </r>
          <r>
            <rPr>
              <rFont val="TH SarabunPSK"/>
              <family val="2"/>
              <b val="1"/>
              <color theme="1"/>
              <sz val="16"/>
            </rPr>
            <t>ห้องสอบหัตถารทางคลินิก แบบรวมสถานการณ์</t>
          </r>
        </is>
      </c>
      <c r="B155" s="394" t="inlineStr">
        <is>
          <t>ครั้ง</t>
        </is>
      </c>
      <c r="C155" s="394" t="n">
        <v>90</v>
      </c>
      <c r="D155" s="377">
        <f>C155*0.071</f>
        <v/>
      </c>
      <c r="E155" s="527" t="n"/>
      <c r="F155" s="527" t="n"/>
      <c r="G155" s="527" t="n"/>
      <c r="H155" s="527" t="n"/>
      <c r="I155" s="527" t="n"/>
      <c r="J155" s="527" t="n"/>
      <c r="K155" s="527" t="n"/>
      <c r="L155" s="527" t="n"/>
      <c r="M155" s="527" t="n"/>
      <c r="N155" s="527" t="n"/>
      <c r="O155" s="527" t="n"/>
      <c r="P155" s="527" t="n"/>
      <c r="Q155" s="527" t="n"/>
      <c r="R155" s="527" t="n"/>
      <c r="S155" s="527" t="n"/>
      <c r="T155" s="527" t="n"/>
      <c r="U155" s="527" t="n"/>
      <c r="V155" s="527" t="n"/>
      <c r="W155" s="527" t="n"/>
      <c r="X155" s="527" t="n"/>
      <c r="Y155" s="527" t="n"/>
      <c r="Z155" s="527" t="n"/>
      <c r="AA155" s="527" t="n"/>
      <c r="AB155" s="527" t="n"/>
      <c r="AC155" s="527" t="n"/>
      <c r="AD155" s="527" t="n"/>
      <c r="AE155" s="527" t="n"/>
      <c r="AF155" s="527" t="n"/>
      <c r="AG155" s="527" t="n"/>
      <c r="AH155" s="527" t="n"/>
      <c r="AI155" s="527" t="n"/>
      <c r="AJ155" s="594">
        <f>SUM(E155:AH155)</f>
        <v/>
      </c>
      <c r="AK155" s="603">
        <f>AJ155*D155</f>
        <v/>
      </c>
    </row>
    <row r="156" ht="50" customHeight="1">
      <c r="A156" s="530" t="inlineStr">
        <is>
          <t>3.พัฒนาแอปพลิเคชันระบบฐานข้อมูลการเบิกยืมอุปกรณ์เพื่อใช้ในการฝึกหัตถการและสถานการณ์จำลองทางคลินิก</t>
        </is>
      </c>
      <c r="B156" s="394" t="inlineStr">
        <is>
          <t>วัน</t>
        </is>
      </c>
      <c r="C156" s="394" t="inlineStr">
        <is>
          <t>เหมา</t>
        </is>
      </c>
      <c r="D156" s="539" t="n">
        <v>30</v>
      </c>
      <c r="E156" s="527" t="n"/>
      <c r="F156" s="527" t="n"/>
      <c r="G156" s="527" t="n"/>
      <c r="H156" s="527" t="n"/>
      <c r="I156" s="527" t="n"/>
      <c r="J156" s="527" t="n"/>
      <c r="K156" s="527" t="n"/>
      <c r="L156" s="527" t="n"/>
      <c r="M156" s="527" t="n"/>
      <c r="N156" s="527" t="n"/>
      <c r="O156" s="527" t="n"/>
      <c r="P156" s="527" t="n"/>
      <c r="Q156" s="527" t="n"/>
      <c r="R156" s="527" t="n"/>
      <c r="S156" s="527" t="n"/>
      <c r="T156" s="527" t="n"/>
      <c r="U156" s="527" t="n"/>
      <c r="V156" s="527" t="n"/>
      <c r="W156" s="527" t="n"/>
      <c r="X156" s="527" t="n"/>
      <c r="Y156" s="527" t="n"/>
      <c r="Z156" s="527" t="n"/>
      <c r="AA156" s="527" t="n"/>
      <c r="AB156" s="527" t="n"/>
      <c r="AC156" s="527" t="n"/>
      <c r="AD156" s="527" t="n"/>
      <c r="AE156" s="527" t="n"/>
      <c r="AF156" s="527" t="n"/>
      <c r="AG156" s="527" t="n"/>
      <c r="AH156" s="527" t="n"/>
      <c r="AI156" s="527" t="n"/>
      <c r="AJ156" s="594">
        <f>SUM(E156:AH156)</f>
        <v/>
      </c>
      <c r="AK156" s="603">
        <f>AJ156*D156</f>
        <v/>
      </c>
    </row>
    <row r="157" ht="50" customHeight="1">
      <c r="A157" s="530" t="inlineStr">
        <is>
          <t>4.ทำทะเบียนการเบิก/ยืมรายการอุปกรณ์การฝึกหัตถการและสถานการณ์จำลองทางคลินิก</t>
        </is>
      </c>
      <c r="B157" s="394" t="inlineStr">
        <is>
          <t>วัน</t>
        </is>
      </c>
      <c r="C157" s="394" t="n">
        <v>15</v>
      </c>
      <c r="D157" s="377">
        <f>C157*0.071</f>
        <v/>
      </c>
      <c r="E157" s="527" t="n"/>
      <c r="F157" s="527" t="n"/>
      <c r="G157" s="527" t="n"/>
      <c r="H157" s="527" t="n"/>
      <c r="I157" s="527" t="n"/>
      <c r="J157" s="527" t="n"/>
      <c r="K157" s="527" t="n"/>
      <c r="L157" s="527" t="n"/>
      <c r="M157" s="527" t="n"/>
      <c r="N157" s="527" t="n"/>
      <c r="O157" s="527" t="n"/>
      <c r="P157" s="527" t="n"/>
      <c r="Q157" s="527" t="n"/>
      <c r="R157" s="527" t="n"/>
      <c r="S157" s="527" t="n"/>
      <c r="T157" s="527" t="n"/>
      <c r="U157" s="527" t="n"/>
      <c r="V157" s="527" t="n"/>
      <c r="W157" s="527" t="n"/>
      <c r="X157" s="527" t="n"/>
      <c r="Y157" s="527" t="n"/>
      <c r="Z157" s="527" t="n"/>
      <c r="AA157" s="527" t="n"/>
      <c r="AB157" s="527" t="n"/>
      <c r="AC157" s="527" t="n"/>
      <c r="AD157" s="527" t="n"/>
      <c r="AE157" s="527" t="n"/>
      <c r="AF157" s="527" t="n"/>
      <c r="AG157" s="527" t="n"/>
      <c r="AH157" s="527" t="n"/>
      <c r="AI157" s="527" t="n"/>
      <c r="AJ157" s="594">
        <f>SUM(E157:AH157)</f>
        <v/>
      </c>
      <c r="AK157" s="603">
        <f>AJ157*D157</f>
        <v/>
      </c>
    </row>
    <row r="158" ht="50" customHeight="1">
      <c r="A158" s="530" t="inlineStr">
        <is>
          <t>5.ให้ความช่วยเหลือและแนะนำการแก้ปัญหาแก่ผู้ใช้งานห้องฝึกหัตถการและสถานการณ์จำลองทางคลินิก</t>
        </is>
      </c>
      <c r="B158" s="394" t="inlineStr">
        <is>
          <t>ครั้ง</t>
        </is>
      </c>
      <c r="C158" s="394" t="n">
        <v>15</v>
      </c>
      <c r="D158" s="377">
        <f>C158*0.071</f>
        <v/>
      </c>
      <c r="E158" s="527" t="n"/>
      <c r="F158" s="527" t="n"/>
      <c r="G158" s="527" t="n"/>
      <c r="H158" s="527" t="n"/>
      <c r="I158" s="527" t="n"/>
      <c r="J158" s="527" t="n"/>
      <c r="K158" s="527" t="n"/>
      <c r="L158" s="527" t="n"/>
      <c r="M158" s="527" t="n"/>
      <c r="N158" s="527" t="n"/>
      <c r="O158" s="527" t="n"/>
      <c r="P158" s="527" t="n"/>
      <c r="Q158" s="527" t="n"/>
      <c r="R158" s="527" t="n"/>
      <c r="S158" s="527" t="n"/>
      <c r="T158" s="527" t="n"/>
      <c r="U158" s="527" t="n"/>
      <c r="V158" s="527" t="n"/>
      <c r="W158" s="527" t="n"/>
      <c r="X158" s="527" t="n"/>
      <c r="Y158" s="527" t="n"/>
      <c r="Z158" s="527" t="n"/>
      <c r="AA158" s="527" t="n"/>
      <c r="AB158" s="527" t="n"/>
      <c r="AC158" s="527" t="n"/>
      <c r="AD158" s="527" t="n"/>
      <c r="AE158" s="527" t="n"/>
      <c r="AF158" s="527" t="n"/>
      <c r="AG158" s="527" t="n"/>
      <c r="AH158" s="527" t="n"/>
      <c r="AI158" s="527" t="n"/>
      <c r="AJ158" s="439">
        <f>SUM(E158:AH158)</f>
        <v/>
      </c>
      <c r="AK158" s="603">
        <f>AJ158*D158</f>
        <v/>
      </c>
    </row>
    <row r="159" ht="75" customHeight="1">
      <c r="A159" s="541" t="inlineStr">
        <is>
          <t>6.การจัดการดูแลรักษาอุปกรณ์การฝึกหัตถการและสถานการณ์จำลองทางคลินิกตามห้วงเวลา หรือส่งซ่อมที่ชำรุด เปิดระบบ control KB Port</t>
        </is>
      </c>
      <c r="B159" s="532" t="inlineStr">
        <is>
          <t>วัน</t>
        </is>
      </c>
      <c r="C159" s="532" t="n">
        <v>20</v>
      </c>
      <c r="D159" s="377">
        <f>C159*0.071</f>
        <v/>
      </c>
      <c r="E159" s="527" t="n"/>
      <c r="F159" s="527" t="n"/>
      <c r="G159" s="527" t="n"/>
      <c r="H159" s="527" t="n"/>
      <c r="I159" s="527" t="n"/>
      <c r="J159" s="527" t="n"/>
      <c r="K159" s="527" t="n"/>
      <c r="L159" s="527" t="n"/>
      <c r="M159" s="527" t="n"/>
      <c r="N159" s="527" t="n"/>
      <c r="O159" s="527" t="n"/>
      <c r="P159" s="527" t="n"/>
      <c r="Q159" s="527" t="n"/>
      <c r="R159" s="527" t="n"/>
      <c r="S159" s="527" t="n"/>
      <c r="T159" s="527" t="n"/>
      <c r="U159" s="527" t="n"/>
      <c r="V159" s="527" t="n"/>
      <c r="W159" s="527" t="n"/>
      <c r="X159" s="527" t="n"/>
      <c r="Y159" s="527" t="n"/>
      <c r="Z159" s="527" t="n"/>
      <c r="AA159" s="527" t="n"/>
      <c r="AB159" s="527" t="n"/>
      <c r="AC159" s="527" t="n"/>
      <c r="AD159" s="527" t="n"/>
      <c r="AE159" s="527" t="n"/>
      <c r="AF159" s="527" t="n"/>
      <c r="AG159" s="527" t="n"/>
      <c r="AH159" s="527" t="n"/>
      <c r="AI159" s="527" t="n"/>
      <c r="AJ159" s="439">
        <f>SUM(E159:AH159)</f>
        <v/>
      </c>
      <c r="AK159" s="605">
        <f>AJ159*D159</f>
        <v/>
      </c>
    </row>
    <row r="160" ht="25" customHeight="1">
      <c r="A160" s="182" t="inlineStr">
        <is>
          <t>7.เตรียมผู้ป่วยจำลอง</t>
        </is>
      </c>
      <c r="B160" s="172" t="inlineStr">
        <is>
          <t>รอบ</t>
        </is>
      </c>
      <c r="C160" s="172" t="inlineStr">
        <is>
          <t>เหมา</t>
        </is>
      </c>
      <c r="D160" s="179" t="n">
        <v>7</v>
      </c>
      <c r="E160" s="432" t="n"/>
      <c r="F160" s="432" t="n"/>
      <c r="G160" s="432" t="n"/>
      <c r="H160" s="432" t="n"/>
      <c r="I160" s="432" t="n"/>
      <c r="J160" s="432" t="n"/>
      <c r="K160" s="432" t="n"/>
      <c r="L160" s="432" t="n"/>
      <c r="M160" s="432" t="n"/>
      <c r="N160" s="432" t="n"/>
      <c r="O160" s="432" t="n"/>
      <c r="P160" s="432" t="n"/>
      <c r="Q160" s="432" t="n"/>
      <c r="R160" s="432" t="n"/>
      <c r="S160" s="432" t="n"/>
      <c r="T160" s="432" t="n"/>
      <c r="U160" s="432" t="n"/>
      <c r="V160" s="432" t="n"/>
      <c r="W160" s="432" t="n"/>
      <c r="X160" s="432" t="n"/>
      <c r="Y160" s="432" t="n"/>
      <c r="Z160" s="432" t="n"/>
      <c r="AA160" s="432" t="n"/>
      <c r="AB160" s="432" t="n"/>
      <c r="AC160" s="432" t="n"/>
      <c r="AD160" s="432" t="n"/>
      <c r="AE160" s="432" t="n"/>
      <c r="AF160" s="432" t="n"/>
      <c r="AG160" s="432" t="n"/>
      <c r="AH160" s="432" t="n"/>
      <c r="AI160" s="432" t="n"/>
      <c r="AJ160" s="170">
        <f>SUM(E160:AH160)</f>
        <v/>
      </c>
      <c r="AK160" s="180">
        <f>AJ160*D160</f>
        <v/>
      </c>
    </row>
    <row r="161" ht="50" customHeight="1">
      <c r="A161" s="521" t="inlineStr">
        <is>
          <t>งานบริการเทคโนโลยีสารสนเทศ เว็บไซต์ Facebook ระบบอีเมล์</t>
        </is>
      </c>
      <c r="B161" s="617" t="n"/>
      <c r="C161" s="598" t="n"/>
      <c r="D161" s="598" t="n"/>
      <c r="E161" s="517" t="n"/>
      <c r="F161" s="517" t="n"/>
      <c r="G161" s="517" t="n"/>
      <c r="H161" s="517" t="n"/>
      <c r="I161" s="517" t="n"/>
      <c r="J161" s="517" t="n"/>
      <c r="K161" s="517" t="n"/>
      <c r="L161" s="517" t="n"/>
      <c r="M161" s="517" t="n"/>
      <c r="N161" s="517" t="n"/>
      <c r="O161" s="517" t="n"/>
      <c r="P161" s="517" t="n"/>
      <c r="Q161" s="517" t="n"/>
      <c r="R161" s="517" t="n"/>
      <c r="S161" s="517" t="n"/>
      <c r="T161" s="517" t="n"/>
      <c r="U161" s="517" t="n"/>
      <c r="V161" s="517" t="n"/>
      <c r="W161" s="517" t="n"/>
      <c r="X161" s="517" t="n"/>
      <c r="Y161" s="517" t="n"/>
      <c r="Z161" s="517" t="n"/>
      <c r="AA161" s="517" t="n"/>
      <c r="AB161" s="517" t="n"/>
      <c r="AC161" s="517" t="n"/>
      <c r="AD161" s="517" t="n"/>
      <c r="AE161" s="517" t="n"/>
      <c r="AF161" s="517" t="n"/>
      <c r="AG161" s="517" t="n"/>
      <c r="AH161" s="517" t="n"/>
      <c r="AI161" s="598" t="n"/>
      <c r="AJ161" s="598" t="n"/>
      <c r="AK161" s="613" t="n"/>
    </row>
    <row r="162" ht="25" customHeight="1">
      <c r="A162" s="542" t="inlineStr">
        <is>
          <t>1.การจัดการ และตั้งค่าระบบ ZOOM ศูนย์แพทยศาสตรศึกษา</t>
        </is>
      </c>
      <c r="B162" s="523" t="inlineStr">
        <is>
          <t>ครั้ง</t>
        </is>
      </c>
      <c r="C162" s="523" t="n">
        <v>5</v>
      </c>
      <c r="D162" s="536">
        <f>C162*0.071</f>
        <v/>
      </c>
      <c r="E162" s="524" t="n"/>
      <c r="F162" s="524" t="n"/>
      <c r="G162" s="524" t="n"/>
      <c r="H162" s="524" t="n"/>
      <c r="I162" s="524" t="n"/>
      <c r="J162" s="524" t="n"/>
      <c r="K162" s="524" t="n"/>
      <c r="L162" s="524" t="n"/>
      <c r="M162" s="524" t="n"/>
      <c r="N162" s="524" t="n"/>
      <c r="O162" s="524" t="n"/>
      <c r="P162" s="524" t="n"/>
      <c r="Q162" s="524" t="n"/>
      <c r="R162" s="524" t="n"/>
      <c r="S162" s="524" t="n"/>
      <c r="T162" s="524" t="n"/>
      <c r="U162" s="524" t="n"/>
      <c r="V162" s="524" t="n"/>
      <c r="W162" s="524" t="n"/>
      <c r="X162" s="524" t="n"/>
      <c r="Y162" s="524" t="n"/>
      <c r="Z162" s="524" t="n"/>
      <c r="AA162" s="524" t="n"/>
      <c r="AB162" s="524" t="n"/>
      <c r="AC162" s="524" t="n"/>
      <c r="AD162" s="524" t="n"/>
      <c r="AE162" s="524" t="n"/>
      <c r="AF162" s="524" t="n"/>
      <c r="AG162" s="524" t="n"/>
      <c r="AH162" s="524" t="n"/>
      <c r="AI162" s="524" t="n"/>
      <c r="AJ162" s="594">
        <f>SUM(E162:AH162)</f>
        <v/>
      </c>
      <c r="AK162" s="603">
        <f>AJ162*D162</f>
        <v/>
      </c>
    </row>
    <row r="163" ht="50" customHeight="1">
      <c r="A163" s="522" t="inlineStr">
        <is>
          <t xml:space="preserve">2.การบันทึกไฟล์การสอน ประชุม หรือกล้องวงจรปิดผ่านระบบออนไลน์ใน Drive </t>
        </is>
      </c>
      <c r="B163" s="394" t="inlineStr">
        <is>
          <t>ครั้ง</t>
        </is>
      </c>
      <c r="C163" s="394" t="n">
        <v>5</v>
      </c>
      <c r="D163" s="377">
        <f>C163*0.071</f>
        <v/>
      </c>
      <c r="E163" s="527" t="n"/>
      <c r="F163" s="527" t="n"/>
      <c r="G163" s="527" t="n"/>
      <c r="H163" s="527" t="n"/>
      <c r="I163" s="527" t="n"/>
      <c r="J163" s="527" t="n"/>
      <c r="K163" s="527" t="n"/>
      <c r="L163" s="527" t="n"/>
      <c r="M163" s="527" t="n"/>
      <c r="N163" s="527" t="n"/>
      <c r="O163" s="527" t="n"/>
      <c r="P163" s="527" t="n"/>
      <c r="Q163" s="527" t="n"/>
      <c r="R163" s="527" t="n"/>
      <c r="S163" s="527" t="n"/>
      <c r="T163" s="527" t="n"/>
      <c r="U163" s="527" t="n"/>
      <c r="V163" s="527" t="n"/>
      <c r="W163" s="527" t="n"/>
      <c r="X163" s="527" t="n"/>
      <c r="Y163" s="527" t="n"/>
      <c r="Z163" s="527" t="n"/>
      <c r="AA163" s="527" t="n"/>
      <c r="AB163" s="527" t="n"/>
      <c r="AC163" s="527" t="n"/>
      <c r="AD163" s="527" t="n"/>
      <c r="AE163" s="527" t="n"/>
      <c r="AF163" s="527" t="n"/>
      <c r="AG163" s="527" t="n"/>
      <c r="AH163" s="527" t="n"/>
      <c r="AI163" s="527" t="n"/>
      <c r="AJ163" s="594">
        <f>SUM(E163:AH163)</f>
        <v/>
      </c>
      <c r="AK163" s="603">
        <f>AJ163*D163</f>
        <v/>
      </c>
    </row>
    <row r="164" ht="25" customHeight="1">
      <c r="A164" s="522" t="inlineStr">
        <is>
          <t>3.การบันทึกภาพนิ่งหรือวิดิโอในกิจกรรมต่างๆ</t>
        </is>
      </c>
      <c r="B164" s="394" t="inlineStr">
        <is>
          <t>ครั้ง</t>
        </is>
      </c>
      <c r="C164" s="394" t="n">
        <v>60</v>
      </c>
      <c r="D164" s="377">
        <f>C164*0.071</f>
        <v/>
      </c>
      <c r="E164" s="527" t="n"/>
      <c r="F164" s="527" t="n"/>
      <c r="G164" s="527" t="n"/>
      <c r="H164" s="527" t="n"/>
      <c r="I164" s="527" t="n"/>
      <c r="J164" s="527" t="n"/>
      <c r="K164" s="527" t="n"/>
      <c r="L164" s="527" t="n"/>
      <c r="M164" s="527" t="n"/>
      <c r="N164" s="527" t="n"/>
      <c r="O164" s="527" t="n"/>
      <c r="P164" s="527" t="n"/>
      <c r="Q164" s="527" t="n"/>
      <c r="R164" s="527" t="n"/>
      <c r="S164" s="527" t="n"/>
      <c r="T164" s="527" t="n"/>
      <c r="U164" s="527" t="n"/>
      <c r="V164" s="527" t="n"/>
      <c r="W164" s="527" t="n"/>
      <c r="X164" s="527" t="n"/>
      <c r="Y164" s="527" t="n"/>
      <c r="Z164" s="527" t="n"/>
      <c r="AA164" s="527" t="n"/>
      <c r="AB164" s="527" t="n"/>
      <c r="AC164" s="527" t="n"/>
      <c r="AD164" s="527" t="n"/>
      <c r="AE164" s="527" t="n"/>
      <c r="AF164" s="527" t="n"/>
      <c r="AG164" s="527" t="n"/>
      <c r="AH164" s="527" t="n"/>
      <c r="AI164" s="527" t="n"/>
      <c r="AJ164" s="594">
        <f>SUM(E164:AH164)</f>
        <v/>
      </c>
      <c r="AK164" s="603">
        <f>AJ164*D164</f>
        <v/>
      </c>
    </row>
    <row r="165" ht="50" customHeight="1">
      <c r="A165" s="522" t="inlineStr">
        <is>
          <t>4.การ Update ข้อมูล Facebook website หรือ ไลน์ หน่วยงาน</t>
        </is>
      </c>
      <c r="B165" s="394" t="inlineStr">
        <is>
          <t>ครั้ง</t>
        </is>
      </c>
      <c r="C165" s="394" t="n">
        <v>10</v>
      </c>
      <c r="D165" s="377">
        <f>C165*0.071</f>
        <v/>
      </c>
      <c r="E165" s="527" t="n"/>
      <c r="F165" s="527" t="n"/>
      <c r="G165" s="527" t="n"/>
      <c r="H165" s="527" t="n"/>
      <c r="I165" s="527" t="n"/>
      <c r="J165" s="527" t="n"/>
      <c r="K165" s="527" t="n"/>
      <c r="L165" s="527" t="n"/>
      <c r="M165" s="527" t="n"/>
      <c r="N165" s="527" t="n"/>
      <c r="O165" s="527" t="n"/>
      <c r="P165" s="527" t="n"/>
      <c r="Q165" s="527" t="n"/>
      <c r="R165" s="527" t="n"/>
      <c r="S165" s="527" t="n"/>
      <c r="T165" s="527" t="n"/>
      <c r="U165" s="527" t="n"/>
      <c r="V165" s="527" t="n"/>
      <c r="W165" s="527" t="n"/>
      <c r="X165" s="527" t="n"/>
      <c r="Y165" s="527" t="n"/>
      <c r="Z165" s="527" t="n"/>
      <c r="AA165" s="527" t="n"/>
      <c r="AB165" s="527" t="n"/>
      <c r="AC165" s="527" t="n"/>
      <c r="AD165" s="527" t="n"/>
      <c r="AE165" s="527" t="n"/>
      <c r="AF165" s="527" t="n"/>
      <c r="AG165" s="527" t="n"/>
      <c r="AH165" s="527" t="n"/>
      <c r="AI165" s="527" t="n"/>
      <c r="AJ165" s="594">
        <f>SUM(E165:AH165)</f>
        <v/>
      </c>
      <c r="AK165" s="603">
        <f>AJ165*D165</f>
        <v/>
      </c>
    </row>
    <row r="166" ht="25" customHeight="1">
      <c r="A166" s="522" t="inlineStr">
        <is>
          <t>5.การนำเข้าข้อมูลผู้ใช้งานระบบอีเมล์</t>
        </is>
      </c>
      <c r="B166" s="394" t="inlineStr">
        <is>
          <t>ราย</t>
        </is>
      </c>
      <c r="C166" s="394" t="n">
        <v>5</v>
      </c>
      <c r="D166" s="377">
        <f>C166*0.071</f>
        <v/>
      </c>
      <c r="E166" s="527" t="n"/>
      <c r="F166" s="527" t="n"/>
      <c r="G166" s="527" t="n"/>
      <c r="H166" s="527" t="n"/>
      <c r="I166" s="527" t="n"/>
      <c r="J166" s="527" t="n"/>
      <c r="K166" s="527" t="n"/>
      <c r="L166" s="527" t="n"/>
      <c r="M166" s="527" t="n"/>
      <c r="N166" s="527" t="n"/>
      <c r="O166" s="527" t="n"/>
      <c r="P166" s="527" t="n"/>
      <c r="Q166" s="527" t="n"/>
      <c r="R166" s="527" t="n"/>
      <c r="S166" s="527" t="n"/>
      <c r="T166" s="527" t="n"/>
      <c r="U166" s="527" t="n"/>
      <c r="V166" s="527" t="n"/>
      <c r="W166" s="527" t="n"/>
      <c r="X166" s="527" t="n"/>
      <c r="Y166" s="527" t="n"/>
      <c r="Z166" s="527" t="n"/>
      <c r="AA166" s="527" t="n"/>
      <c r="AB166" s="527" t="n"/>
      <c r="AC166" s="527" t="n"/>
      <c r="AD166" s="527" t="n"/>
      <c r="AE166" s="527" t="n"/>
      <c r="AF166" s="527" t="n"/>
      <c r="AG166" s="527" t="n"/>
      <c r="AH166" s="527" t="n"/>
      <c r="AI166" s="527" t="n"/>
      <c r="AJ166" s="594">
        <f>SUM(E166:AH166)</f>
        <v/>
      </c>
      <c r="AK166" s="603">
        <f>AJ166*D166</f>
        <v/>
      </c>
    </row>
    <row r="167" ht="50" customHeight="1">
      <c r="A167" s="538" t="inlineStr">
        <is>
          <t>6.การช่วยเหลือและให้คำแนะนำเกี่ยวกับงานสารสนเทศ สื่อการเรียนรู้ ระบบอีเมล์</t>
        </is>
      </c>
      <c r="B167" s="394" t="inlineStr">
        <is>
          <t>ครั้ง</t>
        </is>
      </c>
      <c r="C167" s="394" t="n">
        <v>15</v>
      </c>
      <c r="D167" s="377">
        <f>C167*0.071</f>
        <v/>
      </c>
      <c r="E167" s="527" t="n"/>
      <c r="F167" s="527" t="n"/>
      <c r="G167" s="527" t="n"/>
      <c r="H167" s="527" t="n"/>
      <c r="I167" s="527" t="n"/>
      <c r="J167" s="527" t="n"/>
      <c r="K167" s="527" t="n"/>
      <c r="L167" s="527" t="n"/>
      <c r="M167" s="527" t="n"/>
      <c r="N167" s="527" t="n"/>
      <c r="O167" s="527" t="n"/>
      <c r="P167" s="527" t="n"/>
      <c r="Q167" s="527" t="n"/>
      <c r="R167" s="527" t="n"/>
      <c r="S167" s="527" t="n"/>
      <c r="T167" s="527" t="n"/>
      <c r="U167" s="527" t="n"/>
      <c r="V167" s="527" t="n"/>
      <c r="W167" s="527" t="n"/>
      <c r="X167" s="527" t="n"/>
      <c r="Y167" s="527" t="n"/>
      <c r="Z167" s="527" t="n"/>
      <c r="AA167" s="527" t="n"/>
      <c r="AB167" s="527" t="n"/>
      <c r="AC167" s="527" t="n"/>
      <c r="AD167" s="527" t="n"/>
      <c r="AE167" s="527" t="n"/>
      <c r="AF167" s="527" t="n"/>
      <c r="AG167" s="527" t="n"/>
      <c r="AH167" s="527" t="n"/>
      <c r="AI167" s="527" t="n"/>
      <c r="AJ167" s="594">
        <f>SUM(E167:AH167)</f>
        <v/>
      </c>
      <c r="AK167" s="603">
        <f>AJ167*D167</f>
        <v/>
      </c>
    </row>
    <row r="168" ht="50" customHeight="1">
      <c r="A168" s="522" t="inlineStr">
        <is>
          <t>7.การดูแลรักษาความปลอดภัยและการเข้าถึงไฟล์ระบบกล้องวงจรปิด</t>
        </is>
      </c>
      <c r="B168" s="394" t="inlineStr">
        <is>
          <t>ครั้ง</t>
        </is>
      </c>
      <c r="C168" s="394" t="n">
        <v>30</v>
      </c>
      <c r="D168" s="377">
        <f>C168*0.071</f>
        <v/>
      </c>
      <c r="E168" s="527" t="n"/>
      <c r="F168" s="527" t="n"/>
      <c r="G168" s="527" t="n"/>
      <c r="H168" s="527" t="n"/>
      <c r="I168" s="527" t="n"/>
      <c r="J168" s="527" t="n"/>
      <c r="K168" s="527" t="n"/>
      <c r="L168" s="527" t="n"/>
      <c r="M168" s="527" t="n"/>
      <c r="N168" s="527" t="n"/>
      <c r="O168" s="527" t="n"/>
      <c r="P168" s="527" t="n"/>
      <c r="Q168" s="527" t="n"/>
      <c r="R168" s="527" t="n"/>
      <c r="S168" s="527" t="n"/>
      <c r="T168" s="527" t="n"/>
      <c r="U168" s="527" t="n"/>
      <c r="V168" s="527" t="n"/>
      <c r="W168" s="527" t="n"/>
      <c r="X168" s="527" t="n"/>
      <c r="Y168" s="527" t="n"/>
      <c r="Z168" s="527" t="n"/>
      <c r="AA168" s="527" t="n"/>
      <c r="AB168" s="527" t="n"/>
      <c r="AC168" s="527" t="n"/>
      <c r="AD168" s="527" t="n"/>
      <c r="AE168" s="527" t="n"/>
      <c r="AF168" s="527" t="n"/>
      <c r="AG168" s="527" t="n"/>
      <c r="AH168" s="527" t="n"/>
      <c r="AI168" s="527" t="n"/>
      <c r="AJ168" s="594">
        <f>SUM(E168:AH168)</f>
        <v/>
      </c>
      <c r="AK168" s="603">
        <f>AJ168*D168</f>
        <v/>
      </c>
    </row>
    <row r="169" ht="25" customHeight="1">
      <c r="A169" s="538" t="inlineStr">
        <is>
          <t>8.ทำทะเบียนเบิก/ยืมรายการอุปกรณ์เทคโนโลยีสารสนเทศ</t>
        </is>
      </c>
      <c r="B169" s="394" t="inlineStr">
        <is>
          <t>วัน</t>
        </is>
      </c>
      <c r="C169" s="394" t="n">
        <v>15</v>
      </c>
      <c r="D169" s="377">
        <f>C169*0.071</f>
        <v/>
      </c>
      <c r="E169" s="527" t="n"/>
      <c r="F169" s="527" t="n"/>
      <c r="G169" s="527" t="n"/>
      <c r="H169" s="527" t="n"/>
      <c r="I169" s="527" t="n"/>
      <c r="J169" s="527" t="n"/>
      <c r="K169" s="527" t="n"/>
      <c r="L169" s="527" t="n"/>
      <c r="M169" s="527" t="n"/>
      <c r="N169" s="527" t="n"/>
      <c r="O169" s="527" t="n"/>
      <c r="P169" s="527" t="n"/>
      <c r="Q169" s="527" t="n"/>
      <c r="R169" s="527" t="n"/>
      <c r="S169" s="527" t="n"/>
      <c r="T169" s="527" t="n"/>
      <c r="U169" s="527" t="n"/>
      <c r="V169" s="527" t="n"/>
      <c r="W169" s="527" t="n"/>
      <c r="X169" s="527" t="n"/>
      <c r="Y169" s="527" t="n"/>
      <c r="Z169" s="527" t="n"/>
      <c r="AA169" s="527" t="n"/>
      <c r="AB169" s="527" t="n"/>
      <c r="AC169" s="527" t="n"/>
      <c r="AD169" s="527" t="n"/>
      <c r="AE169" s="527" t="n"/>
      <c r="AF169" s="527" t="n"/>
      <c r="AG169" s="527" t="n"/>
      <c r="AH169" s="527" t="n"/>
      <c r="AI169" s="527" t="n"/>
      <c r="AJ169" s="594">
        <f>SUM(E169:AH169)</f>
        <v/>
      </c>
      <c r="AK169" s="603">
        <f>AJ169*D169</f>
        <v/>
      </c>
    </row>
    <row r="170" ht="75" customHeight="1">
      <c r="A170" s="538" t="inlineStr">
        <is>
          <t>9.นำข้อมูลเข้าระบบฐานข้อมูลเบิกยืมอุปกรณ์เทคโนโลยีสารสนเทศ ดูแลและจัดการการใช้งานระบบเบิกยืมอุปกรณ์เทคโนโลยีสารสนเทศ</t>
        </is>
      </c>
      <c r="B170" s="532" t="inlineStr">
        <is>
          <t xml:space="preserve">ครั้ง </t>
        </is>
      </c>
      <c r="C170" s="532" t="n">
        <v>15</v>
      </c>
      <c r="D170" s="539">
        <f>C170*0.071</f>
        <v/>
      </c>
      <c r="E170" s="534" t="n"/>
      <c r="F170" s="534" t="n"/>
      <c r="G170" s="534" t="n"/>
      <c r="H170" s="534" t="n"/>
      <c r="I170" s="534" t="n"/>
      <c r="J170" s="534" t="n"/>
      <c r="K170" s="534" t="n"/>
      <c r="L170" s="534" t="n"/>
      <c r="M170" s="534" t="n"/>
      <c r="N170" s="534" t="n"/>
      <c r="O170" s="534" t="n"/>
      <c r="P170" s="534" t="n"/>
      <c r="Q170" s="534" t="n"/>
      <c r="R170" s="534" t="n"/>
      <c r="S170" s="534" t="n"/>
      <c r="T170" s="534" t="n"/>
      <c r="U170" s="534" t="n"/>
      <c r="V170" s="534" t="n"/>
      <c r="W170" s="534" t="n"/>
      <c r="X170" s="534" t="n"/>
      <c r="Y170" s="534" t="n"/>
      <c r="Z170" s="534" t="n"/>
      <c r="AA170" s="534" t="n"/>
      <c r="AB170" s="534" t="n"/>
      <c r="AC170" s="534" t="n"/>
      <c r="AD170" s="534" t="n"/>
      <c r="AE170" s="534" t="n"/>
      <c r="AF170" s="534" t="n"/>
      <c r="AG170" s="534" t="n"/>
      <c r="AH170" s="534" t="n"/>
      <c r="AI170" s="534" t="n"/>
      <c r="AJ170" s="597">
        <f>SUM(E170:AH170)</f>
        <v/>
      </c>
      <c r="AK170" s="605">
        <f>AJ170*D170</f>
        <v/>
      </c>
    </row>
    <row r="171" ht="25" customHeight="1">
      <c r="A171" s="521" t="inlineStr">
        <is>
          <t>งานบริการห้องสมุด และ ฐานข้อมูลการสืบค้น</t>
        </is>
      </c>
      <c r="B171" s="610" t="n"/>
      <c r="C171" s="611" t="n"/>
      <c r="D171" s="612" t="n"/>
      <c r="E171" s="592" t="n"/>
      <c r="F171" s="592" t="n"/>
      <c r="G171" s="592" t="n"/>
      <c r="H171" s="592" t="n"/>
      <c r="I171" s="592" t="n"/>
      <c r="J171" s="592" t="n"/>
      <c r="K171" s="592" t="n"/>
      <c r="L171" s="592" t="n"/>
      <c r="M171" s="592" t="n"/>
      <c r="N171" s="592" t="n"/>
      <c r="O171" s="592" t="n"/>
      <c r="P171" s="592" t="n"/>
      <c r="Q171" s="592" t="n"/>
      <c r="R171" s="592" t="n"/>
      <c r="S171" s="592" t="n"/>
      <c r="T171" s="592" t="n"/>
      <c r="U171" s="592" t="n"/>
      <c r="V171" s="592" t="n"/>
      <c r="W171" s="592" t="n"/>
      <c r="X171" s="592" t="n"/>
      <c r="Y171" s="592" t="n"/>
      <c r="Z171" s="592" t="n"/>
      <c r="AA171" s="592" t="n"/>
      <c r="AB171" s="592" t="n"/>
      <c r="AC171" s="592" t="n"/>
      <c r="AD171" s="592" t="n"/>
      <c r="AE171" s="592" t="n"/>
      <c r="AF171" s="592" t="n"/>
      <c r="AG171" s="592" t="n"/>
      <c r="AH171" s="592" t="n"/>
      <c r="AI171" s="592" t="n"/>
      <c r="AJ171" s="593" t="n"/>
      <c r="AK171" s="613" t="n"/>
    </row>
    <row r="172" ht="50" customHeight="1">
      <c r="A172" s="530" t="inlineStr">
        <is>
          <t>1.สร้างแบบสำรวจ แบบประเมินความต้องการ หรือประเมินความพึงพอใจผู้ใช้บริการงานห้องสมุด</t>
        </is>
      </c>
      <c r="B172" s="523" t="inlineStr">
        <is>
          <t>ฟอร์ม</t>
        </is>
      </c>
      <c r="C172" s="523" t="n">
        <v>15</v>
      </c>
      <c r="D172" s="377">
        <f>C172*0.071</f>
        <v/>
      </c>
      <c r="E172" s="524" t="n"/>
      <c r="F172" s="524" t="n"/>
      <c r="G172" s="524" t="n"/>
      <c r="H172" s="524" t="n"/>
      <c r="I172" s="524" t="n"/>
      <c r="J172" s="524" t="n"/>
      <c r="K172" s="524" t="n"/>
      <c r="L172" s="524" t="n"/>
      <c r="M172" s="524" t="n"/>
      <c r="N172" s="524" t="n"/>
      <c r="O172" s="524" t="n"/>
      <c r="P172" s="524" t="n"/>
      <c r="Q172" s="524" t="n"/>
      <c r="R172" s="524" t="n"/>
      <c r="S172" s="524" t="n"/>
      <c r="T172" s="524" t="n"/>
      <c r="U172" s="524" t="n"/>
      <c r="V172" s="524" t="n"/>
      <c r="W172" s="524" t="n"/>
      <c r="X172" s="524" t="n"/>
      <c r="Y172" s="524" t="n"/>
      <c r="Z172" s="524" t="n"/>
      <c r="AA172" s="524" t="n"/>
      <c r="AB172" s="524" t="n"/>
      <c r="AC172" s="524" t="n"/>
      <c r="AD172" s="524" t="n"/>
      <c r="AE172" s="524" t="n"/>
      <c r="AF172" s="524" t="n"/>
      <c r="AG172" s="524" t="n"/>
      <c r="AH172" s="524" t="n"/>
      <c r="AI172" s="524" t="n"/>
      <c r="AJ172" s="594">
        <f>SUM(E172:AH172)</f>
        <v/>
      </c>
      <c r="AK172" s="603">
        <f>AJ172*D172</f>
        <v/>
      </c>
    </row>
    <row r="173" ht="25" customHeight="1">
      <c r="A173" s="525" t="inlineStr">
        <is>
          <t>2.ทำทะเบียนรายการ หนังสือ ตำรา ฐานข้อมูลเพื่อการสืบค้น</t>
        </is>
      </c>
      <c r="B173" s="394" t="inlineStr">
        <is>
          <t>เล่ม</t>
        </is>
      </c>
      <c r="C173" s="394" t="n">
        <v>10</v>
      </c>
      <c r="D173" s="377">
        <f>C173*0.071</f>
        <v/>
      </c>
      <c r="E173" s="527" t="n"/>
      <c r="F173" s="527" t="n"/>
      <c r="G173" s="527" t="n"/>
      <c r="H173" s="527" t="n"/>
      <c r="I173" s="527" t="n"/>
      <c r="J173" s="527" t="n"/>
      <c r="K173" s="527" t="n"/>
      <c r="L173" s="527" t="n"/>
      <c r="M173" s="527" t="n"/>
      <c r="N173" s="527" t="n"/>
      <c r="O173" s="527" t="n"/>
      <c r="P173" s="527" t="n"/>
      <c r="Q173" s="527" t="n"/>
      <c r="R173" s="527" t="n"/>
      <c r="S173" s="527" t="n"/>
      <c r="T173" s="527" t="n"/>
      <c r="U173" s="527" t="n"/>
      <c r="V173" s="527" t="n"/>
      <c r="W173" s="527" t="n"/>
      <c r="X173" s="527" t="n"/>
      <c r="Y173" s="527" t="n"/>
      <c r="Z173" s="527" t="n"/>
      <c r="AA173" s="527" t="n"/>
      <c r="AB173" s="527" t="n"/>
      <c r="AC173" s="527" t="n"/>
      <c r="AD173" s="527" t="n"/>
      <c r="AE173" s="527" t="n"/>
      <c r="AF173" s="527" t="n"/>
      <c r="AG173" s="527" t="n"/>
      <c r="AH173" s="527" t="n"/>
      <c r="AI173" s="527" t="n"/>
      <c r="AJ173" s="594">
        <f>SUM(E173:AH173)</f>
        <v/>
      </c>
      <c r="AK173" s="603">
        <f>AJ173*D173</f>
        <v/>
      </c>
    </row>
    <row r="174" ht="25" customHeight="1">
      <c r="A174" s="538" t="inlineStr">
        <is>
          <t>3.นำข้อมูลเข้าระบบฐานข้อมูลเบิกยืมหนังสือ ตำราห้องสมุด</t>
        </is>
      </c>
      <c r="B174" s="394" t="inlineStr">
        <is>
          <t>เล่ม</t>
        </is>
      </c>
      <c r="C174" s="394" t="n">
        <v>10</v>
      </c>
      <c r="D174" s="377">
        <f>C174*0.071</f>
        <v/>
      </c>
      <c r="E174" s="527" t="n"/>
      <c r="F174" s="527" t="n"/>
      <c r="G174" s="527" t="n"/>
      <c r="H174" s="527" t="n"/>
      <c r="I174" s="527" t="n"/>
      <c r="J174" s="527" t="n"/>
      <c r="K174" s="527" t="n"/>
      <c r="L174" s="527" t="n"/>
      <c r="M174" s="527" t="n"/>
      <c r="N174" s="527" t="n"/>
      <c r="O174" s="527" t="n"/>
      <c r="P174" s="527" t="n"/>
      <c r="Q174" s="527" t="n"/>
      <c r="R174" s="527" t="n"/>
      <c r="S174" s="527" t="n"/>
      <c r="T174" s="527" t="n"/>
      <c r="U174" s="527" t="n"/>
      <c r="V174" s="527" t="n"/>
      <c r="W174" s="527" t="n"/>
      <c r="X174" s="527" t="n"/>
      <c r="Y174" s="527" t="n"/>
      <c r="Z174" s="527" t="n"/>
      <c r="AA174" s="527" t="n"/>
      <c r="AB174" s="527" t="n"/>
      <c r="AC174" s="527" t="n"/>
      <c r="AD174" s="527" t="n"/>
      <c r="AE174" s="527" t="n"/>
      <c r="AF174" s="527" t="n"/>
      <c r="AG174" s="527" t="n"/>
      <c r="AH174" s="527" t="n"/>
      <c r="AI174" s="527" t="n"/>
      <c r="AJ174" s="594">
        <f>SUM(E174:AH174)</f>
        <v/>
      </c>
      <c r="AK174" s="603">
        <f>AJ174*D174</f>
        <v/>
      </c>
    </row>
    <row r="175" ht="25" customHeight="1">
      <c r="A175" s="538" t="inlineStr">
        <is>
          <t>4.พัฒนาและปรับปรุงแอฟพลิเคชันห้องสมุด (DEV)</t>
        </is>
      </c>
      <c r="B175" s="394" t="inlineStr">
        <is>
          <t>วัน</t>
        </is>
      </c>
      <c r="C175" s="394" t="inlineStr">
        <is>
          <t>เหมา</t>
        </is>
      </c>
      <c r="D175" s="539" t="n">
        <v>30</v>
      </c>
      <c r="E175" s="527" t="n"/>
      <c r="F175" s="527" t="n"/>
      <c r="G175" s="527" t="n"/>
      <c r="H175" s="527" t="n"/>
      <c r="I175" s="527" t="n"/>
      <c r="J175" s="527" t="n"/>
      <c r="K175" s="527" t="n"/>
      <c r="L175" s="527" t="n"/>
      <c r="M175" s="527" t="n"/>
      <c r="N175" s="527" t="n"/>
      <c r="O175" s="527" t="n"/>
      <c r="P175" s="527" t="n"/>
      <c r="Q175" s="527" t="n"/>
      <c r="R175" s="527" t="n"/>
      <c r="S175" s="527" t="n"/>
      <c r="T175" s="527" t="n"/>
      <c r="U175" s="527" t="n"/>
      <c r="V175" s="527" t="n"/>
      <c r="W175" s="527" t="n"/>
      <c r="X175" s="527" t="n"/>
      <c r="Y175" s="527" t="n"/>
      <c r="Z175" s="527" t="n"/>
      <c r="AA175" s="527" t="n"/>
      <c r="AB175" s="527" t="n"/>
      <c r="AC175" s="527" t="n"/>
      <c r="AD175" s="527" t="n"/>
      <c r="AE175" s="527" t="n"/>
      <c r="AF175" s="527" t="n"/>
      <c r="AG175" s="527" t="n"/>
      <c r="AH175" s="527" t="n"/>
      <c r="AI175" s="527" t="n"/>
      <c r="AJ175" s="594">
        <f>SUM(E175:AH175)</f>
        <v/>
      </c>
      <c r="AK175" s="603">
        <f>AJ175*D175</f>
        <v/>
      </c>
    </row>
    <row r="176" ht="50" customHeight="1">
      <c r="A176" s="538" t="inlineStr">
        <is>
          <t>5.ให้ความช่วยเหลือและแนะนำการแก้ปัญหาแก่ผู้ใช้บริการงานห้องสมุด</t>
        </is>
      </c>
      <c r="B176" s="532" t="inlineStr">
        <is>
          <t>ราย</t>
        </is>
      </c>
      <c r="C176" s="532" t="n">
        <v>5</v>
      </c>
      <c r="D176" s="533">
        <f>C176*0.071</f>
        <v/>
      </c>
      <c r="E176" s="534" t="n"/>
      <c r="F176" s="534" t="n"/>
      <c r="G176" s="534" t="n"/>
      <c r="H176" s="534" t="n"/>
      <c r="I176" s="534" t="n"/>
      <c r="J176" s="534" t="n"/>
      <c r="K176" s="534" t="n"/>
      <c r="L176" s="534" t="n"/>
      <c r="M176" s="534" t="n"/>
      <c r="N176" s="534" t="n"/>
      <c r="O176" s="534" t="n"/>
      <c r="P176" s="534" t="n"/>
      <c r="Q176" s="534" t="n"/>
      <c r="R176" s="534" t="n"/>
      <c r="S176" s="534" t="n"/>
      <c r="T176" s="534" t="n"/>
      <c r="U176" s="534" t="n"/>
      <c r="V176" s="534" t="n"/>
      <c r="W176" s="534" t="n"/>
      <c r="X176" s="534" t="n"/>
      <c r="Y176" s="534" t="n"/>
      <c r="Z176" s="534" t="n"/>
      <c r="AA176" s="534" t="n"/>
      <c r="AB176" s="534" t="n"/>
      <c r="AC176" s="534" t="n"/>
      <c r="AD176" s="534" t="n"/>
      <c r="AE176" s="534" t="n"/>
      <c r="AF176" s="534" t="n"/>
      <c r="AG176" s="534" t="n"/>
      <c r="AH176" s="534" t="n"/>
      <c r="AI176" s="527" t="n"/>
      <c r="AJ176" s="597">
        <f>SUM(E176:AH176)</f>
        <v/>
      </c>
      <c r="AK176" s="605">
        <f>AJ176*D176</f>
        <v/>
      </c>
    </row>
    <row r="177" ht="25" customHeight="1">
      <c r="A177" s="543" t="inlineStr">
        <is>
          <t>งานครุภัณฑ์ / เวชภัณฑ์ / ยา</t>
        </is>
      </c>
      <c r="B177" s="614" t="n"/>
      <c r="C177" s="599" t="n"/>
      <c r="D177" s="615" t="n"/>
      <c r="E177" s="517" t="n"/>
      <c r="F177" s="517" t="n"/>
      <c r="G177" s="517" t="n"/>
      <c r="H177" s="517" t="n"/>
      <c r="I177" s="517" t="n"/>
      <c r="J177" s="517" t="n"/>
      <c r="K177" s="517" t="n"/>
      <c r="L177" s="517" t="n"/>
      <c r="M177" s="517" t="n"/>
      <c r="N177" s="517" t="n"/>
      <c r="O177" s="517" t="n"/>
      <c r="P177" s="517" t="n"/>
      <c r="Q177" s="517" t="n"/>
      <c r="R177" s="517" t="n"/>
      <c r="S177" s="517" t="n"/>
      <c r="T177" s="517" t="n"/>
      <c r="U177" s="517" t="n"/>
      <c r="V177" s="517" t="n"/>
      <c r="W177" s="517" t="n"/>
      <c r="X177" s="517" t="n"/>
      <c r="Y177" s="517" t="n"/>
      <c r="Z177" s="517" t="n"/>
      <c r="AA177" s="517" t="n"/>
      <c r="AB177" s="517" t="n"/>
      <c r="AC177" s="517" t="n"/>
      <c r="AD177" s="517" t="n"/>
      <c r="AE177" s="517" t="n"/>
      <c r="AF177" s="517" t="n"/>
      <c r="AG177" s="517" t="n"/>
      <c r="AH177" s="517" t="n"/>
      <c r="AI177" s="599" t="n"/>
      <c r="AJ177" s="599" t="n"/>
      <c r="AK177" s="616" t="n"/>
    </row>
    <row r="178" ht="50" customHeight="1">
      <c r="A178" s="164" t="inlineStr">
        <is>
          <r>
            <rPr>
              <rFont val="TH SarabunPSK"/>
              <family val="2"/>
              <b val="1"/>
              <color theme="1"/>
              <sz val="16"/>
            </rPr>
            <t>1. เสนอ</t>
          </r>
          <r>
            <rPr>
              <rFont val="TH SarabunPSK"/>
              <family val="2"/>
              <color theme="1"/>
              <sz val="16"/>
            </rPr>
            <t>ความต้องการครุภัณฑ์ทางการแพทย์/
ครุภัณฑ์ประจำหน่วยงาน (ม.ค.)</t>
          </r>
        </is>
      </c>
      <c r="B178" s="544" t="inlineStr">
        <is>
          <t>ปี</t>
        </is>
      </c>
      <c r="C178" s="545" t="inlineStr">
        <is>
          <t>เหมา</t>
        </is>
      </c>
      <c r="D178" s="546" t="n">
        <v>15</v>
      </c>
      <c r="E178" s="547" t="n"/>
      <c r="F178" s="547" t="n"/>
      <c r="G178" s="547" t="n"/>
      <c r="H178" s="547" t="n"/>
      <c r="I178" s="547" t="n"/>
      <c r="J178" s="547" t="n"/>
      <c r="K178" s="547" t="n"/>
      <c r="L178" s="547" t="n"/>
      <c r="M178" s="547" t="n"/>
      <c r="N178" s="547" t="n"/>
      <c r="O178" s="547" t="n"/>
      <c r="P178" s="547" t="n"/>
      <c r="Q178" s="547" t="n"/>
      <c r="R178" s="547" t="n"/>
      <c r="S178" s="547" t="n"/>
      <c r="T178" s="547" t="n"/>
      <c r="U178" s="547" t="n"/>
      <c r="V178" s="547" t="n"/>
      <c r="W178" s="547" t="n"/>
      <c r="X178" s="547" t="n"/>
      <c r="Y178" s="547" t="n"/>
      <c r="Z178" s="547" t="n"/>
      <c r="AA178" s="547" t="n"/>
      <c r="AB178" s="547" t="n"/>
      <c r="AC178" s="547" t="n"/>
      <c r="AD178" s="547" t="n"/>
      <c r="AE178" s="547" t="n"/>
      <c r="AF178" s="547" t="n"/>
      <c r="AG178" s="547" t="n"/>
      <c r="AH178" s="547" t="n"/>
      <c r="AI178" s="272" t="n"/>
      <c r="AJ178" s="594">
        <f>SUM(E178:AH178)</f>
        <v/>
      </c>
      <c r="AK178" s="383">
        <f>AJ178*D178</f>
        <v/>
      </c>
    </row>
    <row r="179" ht="50" customHeight="1">
      <c r="A179" s="164" t="inlineStr">
        <is>
          <r>
            <rPr>
              <rFont val="TH SarabunPSK"/>
              <family val="2"/>
              <b val="1"/>
              <color theme="1"/>
              <sz val="16"/>
            </rPr>
            <t>2. สรุปยอด</t>
          </r>
          <r>
            <rPr>
              <rFont val="TH SarabunPSK"/>
              <family val="2"/>
              <color theme="1"/>
              <sz val="16"/>
            </rPr>
            <t>ครุภัณฑ์ทางการแพทย์/
ครุภัณฑ์ประจำหน่วยงาน (ก.ย.)</t>
          </r>
        </is>
      </c>
      <c r="B179" s="548" t="inlineStr">
        <is>
          <t>ปี</t>
        </is>
      </c>
      <c r="C179" s="549" t="inlineStr">
        <is>
          <t>เหมา</t>
        </is>
      </c>
      <c r="D179" s="550" t="n">
        <v>30</v>
      </c>
      <c r="E179" s="272" t="n"/>
      <c r="F179" s="272" t="n"/>
      <c r="G179" s="272" t="n"/>
      <c r="H179" s="272" t="n"/>
      <c r="I179" s="272" t="n"/>
      <c r="J179" s="272" t="n"/>
      <c r="K179" s="272" t="n"/>
      <c r="L179" s="272" t="n"/>
      <c r="M179" s="272" t="n"/>
      <c r="N179" s="272" t="n"/>
      <c r="O179" s="272" t="n"/>
      <c r="P179" s="272" t="n"/>
      <c r="Q179" s="272" t="n"/>
      <c r="R179" s="272" t="n"/>
      <c r="S179" s="272" t="n"/>
      <c r="T179" s="272" t="n"/>
      <c r="U179" s="272" t="n"/>
      <c r="V179" s="272" t="n"/>
      <c r="W179" s="272" t="n"/>
      <c r="X179" s="272" t="n"/>
      <c r="Y179" s="272" t="n"/>
      <c r="Z179" s="272" t="n"/>
      <c r="AA179" s="272" t="n"/>
      <c r="AB179" s="272" t="n"/>
      <c r="AC179" s="272" t="n"/>
      <c r="AD179" s="272" t="n"/>
      <c r="AE179" s="272" t="n"/>
      <c r="AF179" s="272" t="n"/>
      <c r="AG179" s="272" t="n"/>
      <c r="AH179" s="272" t="n"/>
      <c r="AI179" s="272" t="n"/>
      <c r="AJ179" s="594">
        <f>SUM(E179:AH179)</f>
        <v/>
      </c>
      <c r="AK179" s="383">
        <f>AJ179*D179</f>
        <v/>
      </c>
    </row>
    <row r="180" ht="50" customHeight="1">
      <c r="A180" s="164" t="inlineStr">
        <is>
          <r>
            <rPr>
              <rFont val="TH SarabunPSK"/>
              <family val="2"/>
              <b val="1"/>
              <color theme="1"/>
              <sz val="16"/>
            </rPr>
            <t>3. รับทราบการรับพัสดุ</t>
          </r>
          <r>
            <rPr>
              <rFont val="TH SarabunPSK"/>
              <family val="2"/>
              <color theme="1"/>
              <sz val="16"/>
            </rPr>
            <t>ครุภัณฑ์ทางการแพทย์/
ครุภัณฑ์ประจำหอผู้ป่วย</t>
          </r>
        </is>
      </c>
      <c r="B180" s="548" t="inlineStr">
        <is>
          <t>ครั้ง</t>
        </is>
      </c>
      <c r="C180" s="549" t="inlineStr">
        <is>
          <t>เหมา</t>
        </is>
      </c>
      <c r="D180" s="550" t="n">
        <v>0.71</v>
      </c>
      <c r="E180" s="272" t="n"/>
      <c r="F180" s="272" t="n"/>
      <c r="G180" s="272" t="n"/>
      <c r="H180" s="272" t="n"/>
      <c r="I180" s="272" t="n"/>
      <c r="J180" s="272" t="n"/>
      <c r="K180" s="272" t="n"/>
      <c r="L180" s="272" t="n"/>
      <c r="M180" s="272" t="n"/>
      <c r="N180" s="272" t="n"/>
      <c r="O180" s="272" t="n"/>
      <c r="P180" s="272" t="n"/>
      <c r="Q180" s="272" t="n"/>
      <c r="R180" s="272" t="n"/>
      <c r="S180" s="272" t="n"/>
      <c r="T180" s="272" t="n"/>
      <c r="U180" s="272" t="n"/>
      <c r="V180" s="272" t="n"/>
      <c r="W180" s="272" t="n"/>
      <c r="X180" s="272" t="n"/>
      <c r="Y180" s="272" t="n"/>
      <c r="Z180" s="272" t="n"/>
      <c r="AA180" s="272" t="n"/>
      <c r="AB180" s="272" t="n"/>
      <c r="AC180" s="272" t="n"/>
      <c r="AD180" s="272" t="n"/>
      <c r="AE180" s="272" t="n"/>
      <c r="AF180" s="272" t="n"/>
      <c r="AG180" s="272" t="n"/>
      <c r="AH180" s="272" t="n"/>
      <c r="AI180" s="272" t="n"/>
      <c r="AJ180" s="594">
        <f>SUM(E180:AH180)</f>
        <v/>
      </c>
      <c r="AK180" s="383">
        <f>AJ180*D180</f>
        <v/>
      </c>
    </row>
    <row r="181" ht="50" customHeight="1">
      <c r="A181" s="176" t="inlineStr">
        <is>
          <t xml:space="preserve">4. กำหนด Spec/ร่าง TOR/กำหนดคุณลักษณะ </t>
        </is>
      </c>
      <c r="B181" s="551" t="inlineStr">
        <is>
          <t>รายการ</t>
        </is>
      </c>
      <c r="C181" s="544" t="inlineStr">
        <is>
          <t>เหมา</t>
        </is>
      </c>
      <c r="D181" s="552" t="n">
        <v>30.03</v>
      </c>
      <c r="E181" s="553" t="n"/>
      <c r="F181" s="553" t="n"/>
      <c r="G181" s="553" t="n"/>
      <c r="H181" s="553" t="n"/>
      <c r="I181" s="553" t="n"/>
      <c r="J181" s="553" t="n"/>
      <c r="K181" s="553" t="n"/>
      <c r="L181" s="553" t="n"/>
      <c r="M181" s="553" t="n"/>
      <c r="N181" s="553" t="n"/>
      <c r="O181" s="553" t="n"/>
      <c r="P181" s="553" t="n"/>
      <c r="Q181" s="553" t="n"/>
      <c r="R181" s="553" t="n"/>
      <c r="S181" s="553" t="n"/>
      <c r="T181" s="553" t="n"/>
      <c r="U181" s="553" t="n"/>
      <c r="V181" s="553" t="n"/>
      <c r="W181" s="553" t="n"/>
      <c r="X181" s="553" t="n"/>
      <c r="Y181" s="553" t="n"/>
      <c r="Z181" s="553" t="n"/>
      <c r="AA181" s="553" t="n"/>
      <c r="AB181" s="553" t="n"/>
      <c r="AC181" s="553" t="n"/>
      <c r="AD181" s="553" t="n"/>
      <c r="AE181" s="553" t="n"/>
      <c r="AF181" s="553" t="n"/>
      <c r="AG181" s="553" t="n"/>
      <c r="AH181" s="553" t="n"/>
      <c r="AI181" s="553" t="n"/>
      <c r="AJ181" s="594">
        <f>SUM(E181:AH181)</f>
        <v/>
      </c>
      <c r="AK181" s="383">
        <f>AJ181*D181</f>
        <v/>
      </c>
    </row>
    <row r="182" ht="50" customHeight="1">
      <c r="A182" s="164" t="inlineStr">
        <is>
          <t xml:space="preserve">5. รายงาน/ตรวจสอบครุภัณฑ์/เวชภัณฑ์/ยา 
ประจำปี </t>
        </is>
      </c>
      <c r="B182" s="551" t="inlineStr">
        <is>
          <t>ปี</t>
        </is>
      </c>
      <c r="C182" s="552" t="inlineStr">
        <is>
          <t>เหมา</t>
        </is>
      </c>
      <c r="D182" s="552" t="n">
        <v>30.03</v>
      </c>
      <c r="E182" s="553" t="n"/>
      <c r="F182" s="553" t="n"/>
      <c r="G182" s="553" t="n"/>
      <c r="H182" s="553" t="n"/>
      <c r="I182" s="553" t="n"/>
      <c r="J182" s="553" t="n"/>
      <c r="K182" s="553" t="n"/>
      <c r="L182" s="553" t="n"/>
      <c r="M182" s="553" t="n"/>
      <c r="N182" s="553" t="n"/>
      <c r="O182" s="553" t="n"/>
      <c r="P182" s="553" t="n"/>
      <c r="Q182" s="553" t="n"/>
      <c r="R182" s="553" t="n"/>
      <c r="S182" s="553" t="n"/>
      <c r="T182" s="553" t="n"/>
      <c r="U182" s="553" t="n"/>
      <c r="V182" s="553" t="n"/>
      <c r="W182" s="553" t="n"/>
      <c r="X182" s="553" t="n"/>
      <c r="Y182" s="553" t="n"/>
      <c r="Z182" s="553" t="n"/>
      <c r="AA182" s="553" t="n"/>
      <c r="AB182" s="553" t="n"/>
      <c r="AC182" s="553" t="n"/>
      <c r="AD182" s="553" t="n"/>
      <c r="AE182" s="553" t="n"/>
      <c r="AF182" s="553" t="n"/>
      <c r="AG182" s="553" t="n"/>
      <c r="AH182" s="553" t="n"/>
      <c r="AI182" s="272" t="n"/>
      <c r="AJ182" s="597">
        <f>SUM(E182:AH182)</f>
        <v/>
      </c>
      <c r="AK182" s="383">
        <f>AJ182*D182</f>
        <v/>
      </c>
    </row>
    <row r="183">
      <c r="A183" s="183" t="inlineStr">
        <is>
          <t>การเตรียมการ/จัดประชุม</t>
        </is>
      </c>
      <c r="B183" s="243" t="n"/>
      <c r="C183" s="244" t="n"/>
      <c r="D183" s="245" t="n"/>
      <c r="E183" s="246" t="n"/>
      <c r="F183" s="246" t="n"/>
      <c r="G183" s="246" t="n"/>
      <c r="H183" s="246" t="n"/>
      <c r="I183" s="246" t="n"/>
      <c r="J183" s="246" t="n"/>
      <c r="K183" s="246" t="n"/>
      <c r="L183" s="246" t="n"/>
      <c r="M183" s="246" t="n"/>
      <c r="N183" s="246" t="n"/>
      <c r="O183" s="246" t="n"/>
      <c r="P183" s="246" t="n"/>
      <c r="Q183" s="246" t="n"/>
      <c r="R183" s="246" t="n"/>
      <c r="S183" s="246" t="n"/>
      <c r="T183" s="246" t="n"/>
      <c r="U183" s="246" t="n"/>
      <c r="V183" s="246" t="n"/>
      <c r="W183" s="246" t="n"/>
      <c r="X183" s="246" t="n"/>
      <c r="Y183" s="246" t="n"/>
      <c r="Z183" s="246" t="n"/>
      <c r="AA183" s="246" t="n"/>
      <c r="AB183" s="246" t="n"/>
      <c r="AC183" s="246" t="n"/>
      <c r="AD183" s="246" t="n"/>
      <c r="AE183" s="246" t="n"/>
      <c r="AF183" s="246" t="n"/>
      <c r="AG183" s="246" t="n"/>
      <c r="AH183" s="246" t="n"/>
      <c r="AI183" s="246" t="n"/>
      <c r="AJ183" s="247" t="n"/>
      <c r="AK183" s="609" t="n"/>
    </row>
    <row r="184" ht="25" customHeight="1">
      <c r="A184" s="74" t="inlineStr">
        <is>
          <t xml:space="preserve"> - จัดเตรียมไฟล์ Power point สำหรับนำเสนอข้อมูล</t>
        </is>
      </c>
      <c r="B184" s="73" t="inlineStr">
        <is>
          <t>ครั้ง</t>
        </is>
      </c>
      <c r="C184" s="73" t="n">
        <v>60</v>
      </c>
      <c r="D184" s="187">
        <f>C184*0.071</f>
        <v/>
      </c>
      <c r="E184" s="251" t="n"/>
      <c r="F184" s="251" t="n"/>
      <c r="G184" s="251" t="n"/>
      <c r="H184" s="251" t="n"/>
      <c r="I184" s="251" t="n"/>
      <c r="J184" s="251" t="n"/>
      <c r="K184" s="251" t="n"/>
      <c r="L184" s="251" t="n"/>
      <c r="M184" s="251" t="n"/>
      <c r="N184" s="251" t="n"/>
      <c r="O184" s="251" t="n"/>
      <c r="P184" s="251" t="n"/>
      <c r="Q184" s="251" t="n"/>
      <c r="R184" s="251" t="n"/>
      <c r="S184" s="251" t="n"/>
      <c r="T184" s="251" t="n"/>
      <c r="U184" s="251" t="n"/>
      <c r="V184" s="251" t="n"/>
      <c r="W184" s="251" t="n"/>
      <c r="X184" s="251" t="n"/>
      <c r="Y184" s="251" t="n"/>
      <c r="Z184" s="251" t="n"/>
      <c r="AA184" s="251" t="n"/>
      <c r="AB184" s="251" t="n"/>
      <c r="AC184" s="251" t="n"/>
      <c r="AD184" s="251" t="n"/>
      <c r="AE184" s="251" t="n"/>
      <c r="AF184" s="251" t="n"/>
      <c r="AG184" s="251" t="n"/>
      <c r="AH184" s="251" t="n"/>
      <c r="AI184" s="251" t="n"/>
      <c r="AJ184" s="252">
        <f>SUM(E184:AI184)</f>
        <v/>
      </c>
      <c r="AK184" s="188">
        <f>AJ184*D184</f>
        <v/>
      </c>
    </row>
    <row r="185" ht="25" customHeight="1">
      <c r="A185" s="94" t="inlineStr">
        <is>
          <t xml:space="preserve"> - จัดทำเอกสารประกอบการประชุม/อบรม ฯลฯ</t>
        </is>
      </c>
      <c r="B185" s="13" t="inlineStr">
        <is>
          <t>ครั้ง</t>
        </is>
      </c>
      <c r="C185" s="14" t="n">
        <v>15</v>
      </c>
      <c r="D185" s="554">
        <f>C185*0.071</f>
        <v/>
      </c>
      <c r="E185" s="251" t="n"/>
      <c r="F185" s="251" t="n"/>
      <c r="G185" s="251" t="n"/>
      <c r="H185" s="251" t="n"/>
      <c r="I185" s="251" t="n"/>
      <c r="J185" s="251" t="n"/>
      <c r="K185" s="251" t="n"/>
      <c r="L185" s="251" t="n"/>
      <c r="M185" s="251" t="n"/>
      <c r="N185" s="251" t="n"/>
      <c r="O185" s="251" t="n"/>
      <c r="P185" s="251" t="n"/>
      <c r="Q185" s="251" t="n"/>
      <c r="R185" s="251" t="n"/>
      <c r="S185" s="251" t="n"/>
      <c r="T185" s="251" t="n"/>
      <c r="U185" s="251" t="n"/>
      <c r="V185" s="251" t="n"/>
      <c r="W185" s="251" t="n"/>
      <c r="X185" s="251" t="n"/>
      <c r="Y185" s="251" t="n"/>
      <c r="Z185" s="251" t="n"/>
      <c r="AA185" s="251" t="n"/>
      <c r="AB185" s="251" t="n"/>
      <c r="AC185" s="251" t="n"/>
      <c r="AD185" s="251" t="n"/>
      <c r="AE185" s="251" t="n"/>
      <c r="AF185" s="251" t="n"/>
      <c r="AG185" s="251" t="n"/>
      <c r="AH185" s="251" t="n"/>
      <c r="AI185" s="251" t="n"/>
      <c r="AJ185" s="252">
        <f>SUM(E185:AI185)</f>
        <v/>
      </c>
      <c r="AK185" s="188">
        <f>AJ185*D185</f>
        <v/>
      </c>
    </row>
    <row r="186">
      <c r="A186" s="189" t="inlineStr">
        <is>
          <t xml:space="preserve"> - การจัดเตรียมสถานที่ อุปกรณ์ สนับสนุนการประชุม</t>
        </is>
      </c>
      <c r="B186" s="190" t="inlineStr">
        <is>
          <t>ครั้ง</t>
        </is>
      </c>
      <c r="C186" s="191" t="n">
        <v>30</v>
      </c>
      <c r="D186" s="555">
        <f>C186*0.071</f>
        <v/>
      </c>
      <c r="E186" s="258" t="n"/>
      <c r="F186" s="258" t="n"/>
      <c r="G186" s="258" t="n"/>
      <c r="H186" s="258" t="n"/>
      <c r="I186" s="258" t="n"/>
      <c r="J186" s="258" t="n"/>
      <c r="K186" s="258" t="n"/>
      <c r="L186" s="258" t="n"/>
      <c r="M186" s="258" t="n"/>
      <c r="N186" s="258" t="n"/>
      <c r="O186" s="258" t="n"/>
      <c r="P186" s="258" t="n"/>
      <c r="Q186" s="258" t="n"/>
      <c r="R186" s="258" t="n"/>
      <c r="S186" s="258" t="n"/>
      <c r="T186" s="258" t="n"/>
      <c r="U186" s="258" t="n"/>
      <c r="V186" s="258" t="n"/>
      <c r="W186" s="258" t="n"/>
      <c r="X186" s="258" t="n"/>
      <c r="Y186" s="258" t="n"/>
      <c r="Z186" s="258" t="n"/>
      <c r="AA186" s="258" t="n"/>
      <c r="AB186" s="258" t="n"/>
      <c r="AC186" s="258" t="n"/>
      <c r="AD186" s="258" t="n"/>
      <c r="AE186" s="258" t="n"/>
      <c r="AF186" s="258" t="n"/>
      <c r="AG186" s="258" t="n"/>
      <c r="AH186" s="258" t="n"/>
      <c r="AI186" s="258" t="n"/>
      <c r="AJ186" s="252">
        <f>SUM(E186:AI186)</f>
        <v/>
      </c>
      <c r="AK186" s="188">
        <f>AJ186*D186</f>
        <v/>
      </c>
    </row>
    <row r="187">
      <c r="A187" s="189" t="inlineStr">
        <is>
          <t xml:space="preserve"> - ช่วยลงทะเบียน/เอกสาร</t>
        </is>
      </c>
      <c r="B187" s="193" t="inlineStr">
        <is>
          <t>ครั้ง</t>
        </is>
      </c>
      <c r="C187" s="194" t="n">
        <v>30</v>
      </c>
      <c r="D187" s="554">
        <f>C187*0.071</f>
        <v/>
      </c>
      <c r="E187" s="261" t="n"/>
      <c r="F187" s="261" t="n"/>
      <c r="G187" s="261" t="n"/>
      <c r="H187" s="261" t="n"/>
      <c r="I187" s="261" t="n"/>
      <c r="J187" s="261" t="n"/>
      <c r="K187" s="261" t="n"/>
      <c r="L187" s="261" t="n"/>
      <c r="M187" s="261" t="n"/>
      <c r="N187" s="261" t="n"/>
      <c r="O187" s="261" t="n"/>
      <c r="P187" s="261" t="n"/>
      <c r="Q187" s="261" t="n"/>
      <c r="R187" s="261" t="n"/>
      <c r="S187" s="261" t="n"/>
      <c r="T187" s="261" t="n"/>
      <c r="U187" s="261" t="n"/>
      <c r="V187" s="261" t="n"/>
      <c r="W187" s="261" t="n"/>
      <c r="X187" s="261" t="n"/>
      <c r="Y187" s="261" t="n"/>
      <c r="Z187" s="261" t="n"/>
      <c r="AA187" s="261" t="n"/>
      <c r="AB187" s="261" t="n"/>
      <c r="AC187" s="261" t="n"/>
      <c r="AD187" s="261" t="n"/>
      <c r="AE187" s="261" t="n"/>
      <c r="AF187" s="261" t="n"/>
      <c r="AG187" s="261" t="n"/>
      <c r="AH187" s="261" t="n"/>
      <c r="AI187" s="261" t="n"/>
      <c r="AJ187" s="252">
        <f>SUM(E187:AI187)</f>
        <v/>
      </c>
      <c r="AK187" s="188">
        <f>AJ187*D187</f>
        <v/>
      </c>
    </row>
    <row r="188">
      <c r="A188" s="189" t="inlineStr">
        <is>
          <t xml:space="preserve"> - จัดเตรียมอาหารว่าง/อาหารกลางวัน</t>
        </is>
      </c>
      <c r="B188" s="193" t="inlineStr">
        <is>
          <t>ครั้ง</t>
        </is>
      </c>
      <c r="C188" s="194" t="n">
        <v>30</v>
      </c>
      <c r="D188" s="554">
        <f>C188*0.071</f>
        <v/>
      </c>
      <c r="E188" s="261" t="n"/>
      <c r="F188" s="261" t="n"/>
      <c r="G188" s="261" t="n"/>
      <c r="H188" s="261" t="n"/>
      <c r="I188" s="261" t="n"/>
      <c r="J188" s="261" t="n"/>
      <c r="K188" s="261" t="n"/>
      <c r="L188" s="261" t="n"/>
      <c r="M188" s="261" t="n"/>
      <c r="N188" s="261" t="n"/>
      <c r="O188" s="261" t="n"/>
      <c r="P188" s="261" t="n"/>
      <c r="Q188" s="261" t="n"/>
      <c r="R188" s="261" t="n"/>
      <c r="S188" s="261" t="n"/>
      <c r="T188" s="261" t="n"/>
      <c r="U188" s="261" t="n"/>
      <c r="V188" s="261" t="n"/>
      <c r="W188" s="261" t="n"/>
      <c r="X188" s="261" t="n"/>
      <c r="Y188" s="261" t="n"/>
      <c r="Z188" s="261" t="n"/>
      <c r="AA188" s="261" t="n"/>
      <c r="AB188" s="261" t="n"/>
      <c r="AC188" s="261" t="n"/>
      <c r="AD188" s="261" t="n"/>
      <c r="AE188" s="261" t="n"/>
      <c r="AF188" s="261" t="n"/>
      <c r="AG188" s="261" t="n"/>
      <c r="AH188" s="261" t="n"/>
      <c r="AI188" s="261" t="n"/>
      <c r="AJ188" s="252">
        <f>SUM(E188:AI188)</f>
        <v/>
      </c>
      <c r="AK188" s="188">
        <f>AJ188*D188</f>
        <v/>
      </c>
    </row>
    <row r="189">
      <c r="A189" s="196" t="inlineStr">
        <is>
          <t xml:space="preserve"> - จัดเตรียมของรางวัล</t>
        </is>
      </c>
      <c r="B189" s="197" t="inlineStr">
        <is>
          <t>ครั้ง</t>
        </is>
      </c>
      <c r="C189" s="198" t="n">
        <v>30</v>
      </c>
      <c r="D189" s="128">
        <f>C189*0.071</f>
        <v/>
      </c>
      <c r="E189" s="265" t="n"/>
      <c r="F189" s="265" t="n"/>
      <c r="G189" s="265" t="n"/>
      <c r="H189" s="265" t="n"/>
      <c r="I189" s="265" t="n"/>
      <c r="J189" s="265" t="n"/>
      <c r="K189" s="265" t="n"/>
      <c r="L189" s="265" t="n"/>
      <c r="M189" s="265" t="n"/>
      <c r="N189" s="265" t="n"/>
      <c r="O189" s="265" t="n"/>
      <c r="P189" s="265" t="n"/>
      <c r="Q189" s="265" t="n"/>
      <c r="R189" s="265" t="n"/>
      <c r="S189" s="265" t="n"/>
      <c r="T189" s="265" t="n"/>
      <c r="U189" s="265" t="n"/>
      <c r="V189" s="265" t="n"/>
      <c r="W189" s="265" t="n"/>
      <c r="X189" s="265" t="n"/>
      <c r="Y189" s="265" t="n"/>
      <c r="Z189" s="265" t="n"/>
      <c r="AA189" s="265" t="n"/>
      <c r="AB189" s="265" t="n"/>
      <c r="AC189" s="265" t="n"/>
      <c r="AD189" s="265" t="n"/>
      <c r="AE189" s="265" t="n"/>
      <c r="AF189" s="265" t="n"/>
      <c r="AG189" s="265" t="n"/>
      <c r="AH189" s="265" t="n"/>
      <c r="AI189" s="265" t="n"/>
      <c r="AJ189" s="252">
        <f>SUM(E189:AI189)</f>
        <v/>
      </c>
      <c r="AK189" s="188">
        <f>AJ189*D189</f>
        <v/>
      </c>
    </row>
    <row r="190" ht="50" customHeight="1">
      <c r="A190" s="94" t="inlineStr">
        <is>
          <t xml:space="preserve"> - จัดทำการประเมินความพึงพอใจประกอบการประชุม/อบรม ฯลฯ</t>
        </is>
      </c>
      <c r="B190" s="200" t="inlineStr">
        <is>
          <t>ครั้ง</t>
        </is>
      </c>
      <c r="C190" s="86" t="n">
        <v>60</v>
      </c>
      <c r="D190" s="187">
        <f>C190*0.071</f>
        <v/>
      </c>
      <c r="E190" s="251" t="n"/>
      <c r="F190" s="251" t="n"/>
      <c r="G190" s="251" t="n"/>
      <c r="H190" s="251" t="n"/>
      <c r="I190" s="251" t="n"/>
      <c r="J190" s="251" t="n"/>
      <c r="K190" s="251" t="n"/>
      <c r="L190" s="251" t="n"/>
      <c r="M190" s="251" t="n"/>
      <c r="N190" s="251" t="n"/>
      <c r="O190" s="251" t="n"/>
      <c r="P190" s="251" t="n"/>
      <c r="Q190" s="251" t="n"/>
      <c r="R190" s="251" t="n"/>
      <c r="S190" s="251" t="n"/>
      <c r="T190" s="251" t="n"/>
      <c r="U190" s="251" t="n"/>
      <c r="V190" s="251" t="n"/>
      <c r="W190" s="251" t="n"/>
      <c r="X190" s="251" t="n"/>
      <c r="Y190" s="251" t="n"/>
      <c r="Z190" s="251" t="n"/>
      <c r="AA190" s="251" t="n"/>
      <c r="AB190" s="251" t="n"/>
      <c r="AC190" s="251" t="n"/>
      <c r="AD190" s="251" t="n"/>
      <c r="AE190" s="251" t="n"/>
      <c r="AF190" s="251" t="n"/>
      <c r="AG190" s="251" t="n"/>
      <c r="AH190" s="251" t="n"/>
      <c r="AI190" s="251" t="n"/>
      <c r="AJ190" s="252">
        <f>SUM(E190:AI190)</f>
        <v/>
      </c>
      <c r="AK190" s="188">
        <f>AJ190*D190</f>
        <v/>
      </c>
    </row>
    <row r="191" ht="25" customHeight="1">
      <c r="A191" s="556" t="inlineStr">
        <is>
          <t>งานอื่น ๆ (ส่วนกลาง)</t>
        </is>
      </c>
      <c r="B191" s="606" t="n"/>
      <c r="C191" s="607" t="n"/>
      <c r="D191" s="607" t="n"/>
      <c r="E191" s="517" t="n"/>
      <c r="F191" s="517" t="n"/>
      <c r="G191" s="517" t="n"/>
      <c r="H191" s="517" t="n"/>
      <c r="I191" s="517" t="n"/>
      <c r="J191" s="517" t="n"/>
      <c r="K191" s="517" t="n"/>
      <c r="L191" s="517" t="n"/>
      <c r="M191" s="517" t="n"/>
      <c r="N191" s="517" t="n"/>
      <c r="O191" s="517" t="n"/>
      <c r="P191" s="517" t="n"/>
      <c r="Q191" s="517" t="n"/>
      <c r="R191" s="517" t="n"/>
      <c r="S191" s="517" t="n"/>
      <c r="T191" s="517" t="n"/>
      <c r="U191" s="517" t="n"/>
      <c r="V191" s="517" t="n"/>
      <c r="W191" s="517" t="n"/>
      <c r="X191" s="517" t="n"/>
      <c r="Y191" s="517" t="n"/>
      <c r="Z191" s="517" t="n"/>
      <c r="AA191" s="517" t="n"/>
      <c r="AB191" s="517" t="n"/>
      <c r="AC191" s="517" t="n"/>
      <c r="AD191" s="517" t="n"/>
      <c r="AE191" s="517" t="n"/>
      <c r="AF191" s="517" t="n"/>
      <c r="AG191" s="517" t="n"/>
      <c r="AH191" s="517" t="n"/>
      <c r="AI191" s="561" t="n"/>
      <c r="AJ191" s="600" t="n"/>
      <c r="AK191" s="608" t="n"/>
    </row>
    <row r="192">
      <c r="A192" s="372" t="inlineStr">
        <is>
          <t>1. เปิด/ปิดห้องสำนักงาน</t>
        </is>
      </c>
      <c r="B192" s="344" t="inlineStr">
        <is>
          <t>1 ครั้ง / วัน</t>
        </is>
      </c>
      <c r="C192" s="788" t="n"/>
      <c r="D192" s="344" t="n">
        <v>0.71</v>
      </c>
      <c r="E192" s="421" t="n"/>
      <c r="F192" s="421" t="n"/>
      <c r="G192" s="421" t="n"/>
      <c r="H192" s="421" t="n"/>
      <c r="I192" s="421" t="n"/>
      <c r="J192" s="421" t="n"/>
      <c r="K192" s="421" t="n"/>
      <c r="L192" s="421" t="n"/>
      <c r="M192" s="421" t="n"/>
      <c r="N192" s="421" t="n"/>
      <c r="O192" s="421" t="n"/>
      <c r="P192" s="421" t="n"/>
      <c r="Q192" s="421" t="n"/>
      <c r="R192" s="421" t="n"/>
      <c r="S192" s="421" t="n"/>
      <c r="T192" s="421" t="n"/>
      <c r="U192" s="421" t="n"/>
      <c r="V192" s="421" t="n"/>
      <c r="W192" s="421" t="n"/>
      <c r="X192" s="421" t="n"/>
      <c r="Y192" s="421" t="n"/>
      <c r="Z192" s="421" t="n"/>
      <c r="AA192" s="421" t="n"/>
      <c r="AB192" s="421" t="n"/>
      <c r="AC192" s="421" t="n"/>
      <c r="AD192" s="421" t="n"/>
      <c r="AE192" s="421" t="n"/>
      <c r="AF192" s="421" t="n"/>
      <c r="AG192" s="421" t="n"/>
      <c r="AH192" s="421" t="n"/>
      <c r="AI192" s="217" t="n"/>
      <c r="AJ192" s="220">
        <f>SUM(E192:AH192)</f>
        <v/>
      </c>
      <c r="AK192" s="153">
        <f>AJ192*D192</f>
        <v/>
      </c>
    </row>
    <row r="193">
      <c r="A193" s="375" t="inlineStr">
        <is>
          <t>2. เปิด/ปิดเครื่องใช้ไฟฟ้า</t>
        </is>
      </c>
      <c r="B193" s="150" t="inlineStr">
        <is>
          <t>1 ครั้ง / วัน</t>
        </is>
      </c>
      <c r="C193" s="780" t="n"/>
      <c r="D193" s="150" t="n">
        <v>1.07</v>
      </c>
      <c r="E193" s="217" t="n"/>
      <c r="F193" s="217" t="n"/>
      <c r="G193" s="217" t="n"/>
      <c r="H193" s="217" t="n"/>
      <c r="I193" s="217" t="n"/>
      <c r="J193" s="217" t="n"/>
      <c r="K193" s="217" t="n"/>
      <c r="L193" s="217" t="n"/>
      <c r="M193" s="217" t="n"/>
      <c r="N193" s="217" t="n"/>
      <c r="O193" s="217" t="n"/>
      <c r="P193" s="217" t="n"/>
      <c r="Q193" s="217" t="n"/>
      <c r="R193" s="217" t="n"/>
      <c r="S193" s="217" t="n"/>
      <c r="T193" s="217" t="n"/>
      <c r="U193" s="217" t="n"/>
      <c r="V193" s="217" t="n"/>
      <c r="W193" s="217" t="n"/>
      <c r="X193" s="217" t="n"/>
      <c r="Y193" s="217" t="n"/>
      <c r="Z193" s="217" t="n"/>
      <c r="AA193" s="217" t="n"/>
      <c r="AB193" s="217" t="n"/>
      <c r="AC193" s="217" t="n"/>
      <c r="AD193" s="217" t="n"/>
      <c r="AE193" s="217" t="n"/>
      <c r="AF193" s="217" t="n"/>
      <c r="AG193" s="217" t="n"/>
      <c r="AH193" s="217" t="n"/>
      <c r="AI193" s="217" t="n"/>
      <c r="AJ193" s="220">
        <f>SUM(E193:AH193)</f>
        <v/>
      </c>
      <c r="AK193" s="153">
        <f>AJ193*D193</f>
        <v/>
      </c>
    </row>
    <row r="194">
      <c r="A194" s="375" t="inlineStr">
        <is>
          <t>3. ดูแลความสะอาดเรียบร้อยอาคารสถานที่ 
 สิ่งแวดล้อมทั่วไป</t>
        </is>
      </c>
      <c r="B194" s="150" t="inlineStr">
        <is>
          <t>วัน</t>
        </is>
      </c>
      <c r="C194" s="150" t="inlineStr">
        <is>
          <t>เหมา</t>
        </is>
      </c>
      <c r="D194" s="150" t="n">
        <v>4.26</v>
      </c>
      <c r="E194" s="217" t="n"/>
      <c r="F194" s="217" t="n"/>
      <c r="G194" s="217" t="n"/>
      <c r="H194" s="217" t="n"/>
      <c r="I194" s="217" t="n"/>
      <c r="J194" s="217" t="n"/>
      <c r="K194" s="217" t="n"/>
      <c r="L194" s="217" t="n"/>
      <c r="M194" s="217" t="n"/>
      <c r="N194" s="217" t="n"/>
      <c r="O194" s="217" t="n"/>
      <c r="P194" s="217" t="n"/>
      <c r="Q194" s="217" t="n"/>
      <c r="R194" s="217" t="n"/>
      <c r="S194" s="217" t="n"/>
      <c r="T194" s="217" t="n"/>
      <c r="U194" s="217" t="n"/>
      <c r="V194" s="217" t="n"/>
      <c r="W194" s="217" t="n"/>
      <c r="X194" s="217" t="n"/>
      <c r="Y194" s="217" t="n"/>
      <c r="Z194" s="217" t="n"/>
      <c r="AA194" s="217" t="n"/>
      <c r="AB194" s="217" t="n"/>
      <c r="AC194" s="217" t="n"/>
      <c r="AD194" s="217" t="n"/>
      <c r="AE194" s="217" t="n"/>
      <c r="AF194" s="217" t="n"/>
      <c r="AG194" s="217" t="n"/>
      <c r="AH194" s="217" t="n"/>
      <c r="AI194" s="217" t="n"/>
      <c r="AJ194" s="220">
        <f>SUM(E194:AH194)</f>
        <v/>
      </c>
      <c r="AK194" s="153">
        <f>AJ194*D194</f>
        <v/>
      </c>
    </row>
    <row r="195">
      <c r="A195" s="376" t="inlineStr">
        <is>
          <t>4. ดูแลความสะอาดเรียบร้อยห้องอาหาร ห้องพักแพทย์ พยาบาล</t>
        </is>
      </c>
      <c r="B195" s="351" t="inlineStr">
        <is>
          <t>วัน</t>
        </is>
      </c>
      <c r="C195" s="351" t="inlineStr">
        <is>
          <t>เหมา</t>
        </is>
      </c>
      <c r="D195" s="351" t="n">
        <v>8.52</v>
      </c>
      <c r="E195" s="217" t="n"/>
      <c r="F195" s="217" t="n"/>
      <c r="G195" s="217" t="n"/>
      <c r="H195" s="217" t="n"/>
      <c r="I195" s="217" t="n"/>
      <c r="J195" s="217" t="n"/>
      <c r="K195" s="217" t="n"/>
      <c r="L195" s="217" t="n"/>
      <c r="M195" s="217" t="n"/>
      <c r="N195" s="217" t="n"/>
      <c r="O195" s="217" t="n"/>
      <c r="P195" s="217" t="n"/>
      <c r="Q195" s="217" t="n"/>
      <c r="R195" s="217" t="n"/>
      <c r="S195" s="217" t="n"/>
      <c r="T195" s="217" t="n"/>
      <c r="U195" s="217" t="n"/>
      <c r="V195" s="217" t="n"/>
      <c r="W195" s="217" t="n"/>
      <c r="X195" s="217" t="n"/>
      <c r="Y195" s="217" t="n"/>
      <c r="Z195" s="217" t="n"/>
      <c r="AA195" s="217" t="n"/>
      <c r="AB195" s="217" t="n"/>
      <c r="AC195" s="217" t="n"/>
      <c r="AD195" s="217" t="n"/>
      <c r="AE195" s="217" t="n"/>
      <c r="AF195" s="217" t="n"/>
      <c r="AG195" s="217" t="n"/>
      <c r="AH195" s="217" t="n"/>
      <c r="AI195" s="217" t="n"/>
      <c r="AJ195" s="220">
        <f>SUM(E195:AH195)</f>
        <v/>
      </c>
      <c r="AK195" s="153">
        <f>AJ195*D195</f>
        <v/>
      </c>
    </row>
    <row r="196">
      <c r="A196" s="376" t="inlineStr">
        <is>
          <t>5. ทำความสะอาดตู้เย็น</t>
        </is>
      </c>
      <c r="B196" s="351" t="inlineStr">
        <is>
          <t>ครั้ง</t>
        </is>
      </c>
      <c r="C196" s="351" t="inlineStr">
        <is>
          <t>เหมา</t>
        </is>
      </c>
      <c r="D196" s="351" t="n">
        <v>1.07</v>
      </c>
      <c r="E196" s="217" t="n"/>
      <c r="F196" s="217" t="n"/>
      <c r="G196" s="217" t="n"/>
      <c r="H196" s="217" t="n"/>
      <c r="I196" s="217" t="n"/>
      <c r="J196" s="217" t="n"/>
      <c r="K196" s="217" t="n"/>
      <c r="L196" s="217" t="n"/>
      <c r="M196" s="217" t="n"/>
      <c r="N196" s="217" t="n"/>
      <c r="O196" s="217" t="n"/>
      <c r="P196" s="217" t="n"/>
      <c r="Q196" s="217" t="n"/>
      <c r="R196" s="217" t="n"/>
      <c r="S196" s="217" t="n"/>
      <c r="T196" s="217" t="n"/>
      <c r="U196" s="217" t="n"/>
      <c r="V196" s="217" t="n"/>
      <c r="W196" s="217" t="n"/>
      <c r="X196" s="217" t="n"/>
      <c r="Y196" s="217" t="n"/>
      <c r="Z196" s="217" t="n"/>
      <c r="AA196" s="217" t="n"/>
      <c r="AB196" s="217" t="n"/>
      <c r="AC196" s="217" t="n"/>
      <c r="AD196" s="217" t="n"/>
      <c r="AE196" s="217" t="n"/>
      <c r="AF196" s="217" t="n"/>
      <c r="AG196" s="217" t="n"/>
      <c r="AH196" s="217" t="n"/>
      <c r="AI196" s="217" t="n"/>
      <c r="AJ196" s="220">
        <f>SUM(E196:AH196)</f>
        <v/>
      </c>
      <c r="AK196" s="153">
        <f>AJ196*D196</f>
        <v/>
      </c>
    </row>
    <row r="197">
      <c r="A197" s="375" t="inlineStr">
        <is>
          <t>6. การแยกขยะ recycle และนำส่งธนาคารขยะ</t>
        </is>
      </c>
      <c r="B197" s="150" t="inlineStr">
        <is>
          <t>วัน</t>
        </is>
      </c>
      <c r="C197" s="150" t="inlineStr">
        <is>
          <t>เหมา</t>
        </is>
      </c>
      <c r="D197" s="150" t="n">
        <v>4.26</v>
      </c>
      <c r="E197" s="217" t="n"/>
      <c r="F197" s="217" t="n"/>
      <c r="G197" s="217" t="n"/>
      <c r="H197" s="217" t="n"/>
      <c r="I197" s="217" t="n"/>
      <c r="J197" s="217" t="n"/>
      <c r="K197" s="217" t="n"/>
      <c r="L197" s="217" t="n"/>
      <c r="M197" s="217" t="n"/>
      <c r="N197" s="217" t="n"/>
      <c r="O197" s="217" t="n"/>
      <c r="P197" s="217" t="n"/>
      <c r="Q197" s="217" t="n"/>
      <c r="R197" s="217" t="n"/>
      <c r="S197" s="217" t="n"/>
      <c r="T197" s="217" t="n"/>
      <c r="U197" s="217" t="n"/>
      <c r="V197" s="217" t="n"/>
      <c r="W197" s="217" t="n"/>
      <c r="X197" s="217" t="n"/>
      <c r="Y197" s="217" t="n"/>
      <c r="Z197" s="217" t="n"/>
      <c r="AA197" s="217" t="n"/>
      <c r="AB197" s="217" t="n"/>
      <c r="AC197" s="217" t="n"/>
      <c r="AD197" s="217" t="n"/>
      <c r="AE197" s="217" t="n"/>
      <c r="AF197" s="217" t="n"/>
      <c r="AG197" s="217" t="n"/>
      <c r="AH197" s="217" t="n"/>
      <c r="AI197" s="217" t="n"/>
      <c r="AJ197" s="220">
        <f>SUM(E197:AH197)</f>
        <v/>
      </c>
      <c r="AK197" s="153">
        <f>AJ197*D197</f>
        <v/>
      </c>
    </row>
    <row r="198">
      <c r="A198" s="375" t="inlineStr">
        <is>
          <t>7. เดินงานอื่นๆ ที่ได้รับมอบหมาย</t>
        </is>
      </c>
      <c r="B198" s="150" t="inlineStr">
        <is>
          <t>วัน</t>
        </is>
      </c>
      <c r="C198" s="150" t="inlineStr">
        <is>
          <t>เหมา</t>
        </is>
      </c>
      <c r="D198" s="150" t="n">
        <v>4.26</v>
      </c>
      <c r="E198" s="217" t="n"/>
      <c r="F198" s="217" t="n"/>
      <c r="G198" s="217" t="n"/>
      <c r="H198" s="217" t="n"/>
      <c r="I198" s="217" t="n"/>
      <c r="J198" s="217" t="n"/>
      <c r="K198" s="217" t="n"/>
      <c r="L198" s="217" t="n"/>
      <c r="M198" s="217" t="n"/>
      <c r="N198" s="217" t="n"/>
      <c r="O198" s="217" t="n"/>
      <c r="P198" s="217" t="n"/>
      <c r="Q198" s="217" t="n"/>
      <c r="R198" s="217" t="n"/>
      <c r="S198" s="217" t="n"/>
      <c r="T198" s="217" t="n"/>
      <c r="U198" s="217" t="n"/>
      <c r="V198" s="217" t="n"/>
      <c r="W198" s="217" t="n"/>
      <c r="X198" s="217" t="n"/>
      <c r="Y198" s="217" t="n"/>
      <c r="Z198" s="217" t="n"/>
      <c r="AA198" s="217" t="n"/>
      <c r="AB198" s="217" t="n"/>
      <c r="AC198" s="217" t="n"/>
      <c r="AD198" s="217" t="n"/>
      <c r="AE198" s="217" t="n"/>
      <c r="AF198" s="217" t="n"/>
      <c r="AG198" s="217" t="n"/>
      <c r="AH198" s="217" t="n"/>
      <c r="AI198" s="217" t="n"/>
      <c r="AJ198" s="220">
        <f>SUM(E198:AH198)</f>
        <v/>
      </c>
      <c r="AK198" s="153">
        <f>AJ198*D198</f>
        <v/>
      </c>
    </row>
    <row r="199">
      <c r="A199" s="375" t="inlineStr">
        <is>
          <t>8. ทำลายเอกสาร</t>
        </is>
      </c>
      <c r="B199" s="150" t="inlineStr">
        <is>
          <t>วัน</t>
        </is>
      </c>
      <c r="C199" s="150" t="n">
        <v>30</v>
      </c>
      <c r="D199" s="377">
        <f>C199*0.071</f>
        <v/>
      </c>
      <c r="E199" s="217" t="n"/>
      <c r="F199" s="217" t="n"/>
      <c r="G199" s="217" t="n"/>
      <c r="H199" s="217" t="n"/>
      <c r="I199" s="217" t="n"/>
      <c r="J199" s="217" t="n"/>
      <c r="K199" s="217" t="n"/>
      <c r="L199" s="217" t="n"/>
      <c r="M199" s="217" t="n"/>
      <c r="N199" s="217" t="n"/>
      <c r="O199" s="217" t="n"/>
      <c r="P199" s="217" t="n"/>
      <c r="Q199" s="217" t="n"/>
      <c r="R199" s="217" t="n"/>
      <c r="S199" s="217" t="n"/>
      <c r="T199" s="217" t="n"/>
      <c r="U199" s="217" t="n"/>
      <c r="V199" s="217" t="n"/>
      <c r="W199" s="217" t="n"/>
      <c r="X199" s="217" t="n"/>
      <c r="Y199" s="217" t="n"/>
      <c r="Z199" s="217" t="n"/>
      <c r="AA199" s="217" t="n"/>
      <c r="AB199" s="217" t="n"/>
      <c r="AC199" s="217" t="n"/>
      <c r="AD199" s="217" t="n"/>
      <c r="AE199" s="217" t="n"/>
      <c r="AF199" s="217" t="n"/>
      <c r="AG199" s="217" t="n"/>
      <c r="AH199" s="217" t="n"/>
      <c r="AI199" s="217" t="n"/>
      <c r="AJ199" s="220">
        <f>SUM(E199:AH199)</f>
        <v/>
      </c>
      <c r="AK199" s="153">
        <f>AJ199*D199</f>
        <v/>
      </c>
    </row>
    <row r="200" ht="25" customHeight="1">
      <c r="A200" s="378" t="inlineStr">
        <is>
          <t>9. จัดเตรียมอุปกรณ์สถานที่สนับสนุนการสอบแพทย์ นิสิตแพทย์</t>
        </is>
      </c>
      <c r="B200" s="379" t="inlineStr">
        <is>
          <t xml:space="preserve">ครั้ง </t>
        </is>
      </c>
      <c r="C200" s="380" t="inlineStr">
        <is>
          <t>เหมา</t>
        </is>
      </c>
      <c r="D200" s="380" t="n">
        <v>1.07</v>
      </c>
      <c r="E200" s="382" t="n"/>
      <c r="F200" s="382" t="n"/>
      <c r="G200" s="382" t="n"/>
      <c r="H200" s="382" t="n"/>
      <c r="I200" s="382" t="n"/>
      <c r="J200" s="382" t="n"/>
      <c r="K200" s="382" t="n"/>
      <c r="L200" s="382" t="n"/>
      <c r="M200" s="382" t="n"/>
      <c r="N200" s="382" t="n"/>
      <c r="O200" s="382" t="n"/>
      <c r="P200" s="382" t="n"/>
      <c r="Q200" s="382" t="n"/>
      <c r="R200" s="382" t="n"/>
      <c r="S200" s="382" t="n"/>
      <c r="T200" s="382" t="n"/>
      <c r="U200" s="382" t="n"/>
      <c r="V200" s="382" t="n"/>
      <c r="W200" s="382" t="n"/>
      <c r="X200" s="382" t="n"/>
      <c r="Y200" s="382" t="n"/>
      <c r="Z200" s="382" t="n"/>
      <c r="AA200" s="382" t="n"/>
      <c r="AB200" s="382" t="n"/>
      <c r="AC200" s="382" t="n"/>
      <c r="AD200" s="382" t="n"/>
      <c r="AE200" s="382" t="n"/>
      <c r="AF200" s="382" t="n"/>
      <c r="AG200" s="382" t="n"/>
      <c r="AH200" s="382" t="n"/>
      <c r="AI200" s="382" t="n"/>
      <c r="AJ200" s="439">
        <f>SUM(E200:AH200)</f>
        <v/>
      </c>
      <c r="AK200" s="383">
        <f>AJ200*D200</f>
        <v/>
      </c>
    </row>
    <row r="201" ht="24" customHeight="1">
      <c r="A201" s="384" t="inlineStr">
        <is>
          <t>10. ตรวจสอบ/เบิก/แลก ยาน้ำ เวชภัณฑ์ ครุภัณฑ์ ประจำเดือน</t>
        </is>
      </c>
      <c r="B201" s="785" t="inlineStr">
        <is>
          <t>1ครั้ง/เดือน</t>
        </is>
      </c>
      <c r="C201" s="767" t="n"/>
      <c r="D201" s="385" t="n">
        <v>4.26</v>
      </c>
      <c r="E201" s="387" t="n"/>
      <c r="F201" s="387" t="n"/>
      <c r="G201" s="387" t="n"/>
      <c r="H201" s="387" t="n"/>
      <c r="I201" s="387" t="n"/>
      <c r="J201" s="387" t="n"/>
      <c r="K201" s="387" t="n"/>
      <c r="L201" s="387" t="n"/>
      <c r="M201" s="387" t="n"/>
      <c r="N201" s="387" t="n"/>
      <c r="O201" s="387" t="n"/>
      <c r="P201" s="387" t="n"/>
      <c r="Q201" s="387" t="n"/>
      <c r="R201" s="387" t="n"/>
      <c r="S201" s="387" t="n"/>
      <c r="T201" s="387" t="n"/>
      <c r="U201" s="387" t="n"/>
      <c r="V201" s="387" t="n"/>
      <c r="W201" s="387" t="n"/>
      <c r="X201" s="387" t="n"/>
      <c r="Y201" s="387" t="n"/>
      <c r="Z201" s="387" t="n"/>
      <c r="AA201" s="387" t="n"/>
      <c r="AB201" s="387" t="n"/>
      <c r="AC201" s="387" t="n"/>
      <c r="AD201" s="387" t="n"/>
      <c r="AE201" s="387" t="n"/>
      <c r="AF201" s="387" t="n"/>
      <c r="AG201" s="387" t="n"/>
      <c r="AH201" s="387" t="n"/>
      <c r="AI201" s="387" t="n"/>
      <c r="AJ201" s="439">
        <f>SUM(E201:AH201)</f>
        <v/>
      </c>
      <c r="AK201" s="383">
        <f>IF(AJ201,4.26,0)</f>
        <v/>
      </c>
    </row>
    <row r="202" ht="25" customHeight="1">
      <c r="A202" s="384" t="inlineStr">
        <is>
          <t>11. OK ของ / เวชภัณฑ์</t>
        </is>
      </c>
      <c r="B202" s="386" t="inlineStr">
        <is>
          <t>ครั้ง</t>
        </is>
      </c>
      <c r="C202" s="388" t="inlineStr">
        <is>
          <t>เหมา</t>
        </is>
      </c>
      <c r="D202" s="379" t="n">
        <v>1.14</v>
      </c>
      <c r="E202" s="387" t="n"/>
      <c r="F202" s="387" t="n"/>
      <c r="G202" s="387" t="n"/>
      <c r="H202" s="387" t="n"/>
      <c r="I202" s="387" t="n"/>
      <c r="J202" s="387" t="n"/>
      <c r="K202" s="387" t="n"/>
      <c r="L202" s="387" t="n"/>
      <c r="M202" s="387" t="n"/>
      <c r="N202" s="387" t="n"/>
      <c r="O202" s="387" t="n"/>
      <c r="P202" s="387" t="n"/>
      <c r="Q202" s="387" t="n"/>
      <c r="R202" s="387" t="n"/>
      <c r="S202" s="387" t="n"/>
      <c r="T202" s="387" t="n"/>
      <c r="U202" s="387" t="n"/>
      <c r="V202" s="387" t="n"/>
      <c r="W202" s="387" t="n"/>
      <c r="X202" s="387" t="n"/>
      <c r="Y202" s="387" t="n"/>
      <c r="Z202" s="387" t="n"/>
      <c r="AA202" s="387" t="n"/>
      <c r="AB202" s="387" t="n"/>
      <c r="AC202" s="387" t="n"/>
      <c r="AD202" s="387" t="n"/>
      <c r="AE202" s="387" t="n"/>
      <c r="AF202" s="387" t="n"/>
      <c r="AG202" s="387" t="n"/>
      <c r="AH202" s="387" t="n"/>
      <c r="AI202" s="387" t="n"/>
      <c r="AJ202" s="439">
        <f>SUM(E202:AH202)</f>
        <v/>
      </c>
      <c r="AK202" s="383">
        <f>AJ202*D202</f>
        <v/>
      </c>
    </row>
    <row r="203" ht="25" customHeight="1">
      <c r="A203" s="384" t="inlineStr">
        <is>
          <t>12. กิจกรรม 5 ส</t>
        </is>
      </c>
      <c r="B203" s="785" t="inlineStr">
        <is>
          <t>1ครั้ง/เดือน</t>
        </is>
      </c>
      <c r="C203" s="767" t="n"/>
      <c r="D203" s="389" t="n">
        <v>8.52</v>
      </c>
      <c r="E203" s="387" t="n"/>
      <c r="F203" s="387" t="n"/>
      <c r="G203" s="387" t="n"/>
      <c r="H203" s="387" t="n"/>
      <c r="I203" s="387" t="n"/>
      <c r="J203" s="387" t="n"/>
      <c r="K203" s="387" t="n"/>
      <c r="L203" s="387" t="n"/>
      <c r="M203" s="387" t="n"/>
      <c r="N203" s="387" t="n"/>
      <c r="O203" s="387" t="n"/>
      <c r="P203" s="387" t="n"/>
      <c r="Q203" s="387" t="n"/>
      <c r="R203" s="387" t="n"/>
      <c r="S203" s="387" t="n"/>
      <c r="T203" s="387" t="n"/>
      <c r="U203" s="387" t="n"/>
      <c r="V203" s="387" t="n"/>
      <c r="W203" s="387" t="n"/>
      <c r="X203" s="387" t="n"/>
      <c r="Y203" s="387" t="n"/>
      <c r="Z203" s="387" t="n"/>
      <c r="AA203" s="387" t="n"/>
      <c r="AB203" s="387" t="n"/>
      <c r="AC203" s="387" t="n"/>
      <c r="AD203" s="387" t="n"/>
      <c r="AE203" s="387" t="n"/>
      <c r="AF203" s="387" t="n"/>
      <c r="AG203" s="387" t="n"/>
      <c r="AH203" s="387" t="n"/>
      <c r="AI203" s="387" t="n"/>
      <c r="AJ203" s="439">
        <f>SUM(E203:AH203)</f>
        <v/>
      </c>
      <c r="AK203" s="383">
        <f>IF(AJ203,8.52,0)</f>
        <v/>
      </c>
    </row>
    <row r="204" ht="50" customHeight="1">
      <c r="A204" s="390" t="inlineStr">
        <is>
          <t>13. รับทราบการรับพัสดุครุภัณฑ์ทางการแพทย์/ครุภัณท์ประจำหอผู้ป่วย</t>
        </is>
      </c>
      <c r="B204" s="391" t="inlineStr">
        <is>
          <t>ครั้ง</t>
        </is>
      </c>
      <c r="C204" s="392" t="inlineStr">
        <is>
          <t>เหมา</t>
        </is>
      </c>
      <c r="D204" s="393" t="n">
        <v>0.71</v>
      </c>
      <c r="E204" s="395" t="n"/>
      <c r="F204" s="395" t="n"/>
      <c r="G204" s="395" t="n"/>
      <c r="H204" s="395" t="n"/>
      <c r="I204" s="395" t="n"/>
      <c r="J204" s="395" t="n"/>
      <c r="K204" s="395" t="n"/>
      <c r="L204" s="395" t="n"/>
      <c r="M204" s="395" t="n"/>
      <c r="N204" s="395" t="n"/>
      <c r="O204" s="395" t="n"/>
      <c r="P204" s="395" t="n"/>
      <c r="Q204" s="395" t="n"/>
      <c r="R204" s="395" t="n"/>
      <c r="S204" s="395" t="n"/>
      <c r="T204" s="395" t="n"/>
      <c r="U204" s="395" t="n"/>
      <c r="V204" s="395" t="n"/>
      <c r="W204" s="395" t="n"/>
      <c r="X204" s="395" t="n"/>
      <c r="Y204" s="395" t="n"/>
      <c r="Z204" s="395" t="n"/>
      <c r="AA204" s="395" t="n"/>
      <c r="AB204" s="395" t="n"/>
      <c r="AC204" s="395" t="n"/>
      <c r="AD204" s="395" t="n"/>
      <c r="AE204" s="395" t="n"/>
      <c r="AF204" s="395" t="n"/>
      <c r="AG204" s="395" t="n"/>
      <c r="AH204" s="395" t="n"/>
      <c r="AI204" s="395" t="n"/>
      <c r="AJ204" s="439">
        <f>SUM(E204:AH204)</f>
        <v/>
      </c>
      <c r="AK204" s="383">
        <f>AJ204*D204</f>
        <v/>
      </c>
    </row>
    <row r="205" ht="25" customHeight="1">
      <c r="A205" s="396" t="inlineStr">
        <is>
          <t>14. การลง Productivity / เวร</t>
        </is>
      </c>
      <c r="B205" s="386" t="inlineStr">
        <is>
          <t>เวร</t>
        </is>
      </c>
      <c r="C205" s="391" t="inlineStr">
        <is>
          <t>เหมา</t>
        </is>
      </c>
      <c r="D205" s="397" t="n">
        <v>0.71</v>
      </c>
      <c r="E205" s="387" t="n"/>
      <c r="F205" s="387" t="n"/>
      <c r="G205" s="387" t="n"/>
      <c r="H205" s="387" t="n"/>
      <c r="I205" s="387" t="n"/>
      <c r="J205" s="387" t="n"/>
      <c r="K205" s="387" t="n"/>
      <c r="L205" s="387" t="n"/>
      <c r="M205" s="387" t="n"/>
      <c r="N205" s="387" t="n"/>
      <c r="O205" s="387" t="n"/>
      <c r="P205" s="387" t="n"/>
      <c r="Q205" s="387" t="n"/>
      <c r="R205" s="387" t="n"/>
      <c r="S205" s="387" t="n"/>
      <c r="T205" s="387" t="n"/>
      <c r="U205" s="387" t="n"/>
      <c r="V205" s="387" t="n"/>
      <c r="W205" s="387" t="n"/>
      <c r="X205" s="387" t="n"/>
      <c r="Y205" s="387" t="n"/>
      <c r="Z205" s="387" t="n"/>
      <c r="AA205" s="387" t="n"/>
      <c r="AB205" s="387" t="n"/>
      <c r="AC205" s="387" t="n"/>
      <c r="AD205" s="387" t="n"/>
      <c r="AE205" s="387" t="n"/>
      <c r="AF205" s="387" t="n"/>
      <c r="AG205" s="387" t="n"/>
      <c r="AH205" s="387" t="n"/>
      <c r="AI205" s="387" t="n"/>
      <c r="AJ205" s="439">
        <f>SUM(E205:AH205)</f>
        <v/>
      </c>
      <c r="AK205" s="383">
        <f>AJ205*D205</f>
        <v/>
      </c>
    </row>
    <row r="206" ht="25" customHeight="1">
      <c r="A206" s="396" t="inlineStr">
        <is>
          <t>15. scan หน้าเข้าระบบ</t>
        </is>
      </c>
      <c r="B206" s="392" t="inlineStr">
        <is>
          <t>ครั้ง</t>
        </is>
      </c>
      <c r="C206" s="391" t="n">
        <v>5</v>
      </c>
      <c r="D206" s="398">
        <f>0.071*C206</f>
        <v/>
      </c>
      <c r="E206" s="387" t="n"/>
      <c r="F206" s="387" t="n"/>
      <c r="G206" s="387" t="n"/>
      <c r="H206" s="387" t="n"/>
      <c r="I206" s="387" t="n"/>
      <c r="J206" s="387" t="n"/>
      <c r="K206" s="387" t="n"/>
      <c r="L206" s="387" t="n"/>
      <c r="M206" s="387" t="n"/>
      <c r="N206" s="387" t="n"/>
      <c r="O206" s="387" t="n"/>
      <c r="P206" s="387" t="n"/>
      <c r="Q206" s="387" t="n"/>
      <c r="R206" s="387" t="n"/>
      <c r="S206" s="387" t="n"/>
      <c r="T206" s="387" t="n"/>
      <c r="U206" s="387" t="n"/>
      <c r="V206" s="387" t="n"/>
      <c r="W206" s="387" t="n"/>
      <c r="X206" s="387" t="n"/>
      <c r="Y206" s="387" t="n"/>
      <c r="Z206" s="387" t="n"/>
      <c r="AA206" s="387" t="n"/>
      <c r="AB206" s="387" t="n"/>
      <c r="AC206" s="387" t="n"/>
      <c r="AD206" s="387" t="n"/>
      <c r="AE206" s="387" t="n"/>
      <c r="AF206" s="387" t="n"/>
      <c r="AG206" s="387" t="n"/>
      <c r="AH206" s="387" t="n"/>
      <c r="AI206" s="387" t="n"/>
      <c r="AJ206" s="439">
        <f>SUM(E206:AI206)</f>
        <v/>
      </c>
      <c r="AK206" s="383">
        <f>AJ206*D206</f>
        <v/>
      </c>
    </row>
    <row r="207">
      <c r="A207" s="557" t="n"/>
      <c r="B207" s="558" t="n"/>
      <c r="C207" s="558" t="n"/>
      <c r="D207" s="559" t="n"/>
      <c r="E207" s="559" t="n"/>
      <c r="F207" s="560" t="n"/>
      <c r="G207" s="560" t="n"/>
      <c r="H207" s="560" t="n"/>
      <c r="I207" s="560" t="n"/>
      <c r="J207" s="560" t="n"/>
      <c r="K207" s="560" t="n"/>
      <c r="L207" s="560" t="n"/>
      <c r="M207" s="560" t="n"/>
      <c r="N207" s="560" t="n"/>
      <c r="O207" s="560" t="n"/>
      <c r="P207" s="560" t="n"/>
      <c r="Q207" s="560" t="n"/>
      <c r="R207" s="560" t="n"/>
      <c r="S207" s="560" t="n"/>
      <c r="T207" s="560" t="n"/>
      <c r="U207" s="561" t="n"/>
      <c r="V207" s="560" t="n"/>
      <c r="W207" s="560" t="n"/>
      <c r="X207" s="560" t="n"/>
      <c r="Y207" s="560" t="n"/>
      <c r="Z207" s="560" t="n"/>
      <c r="AA207" s="560" t="n"/>
      <c r="AB207" s="560" t="n"/>
      <c r="AC207" s="560" t="n"/>
      <c r="AD207" s="560" t="n"/>
      <c r="AE207" s="562" t="n"/>
      <c r="AF207" s="562" t="n"/>
      <c r="AG207" s="562" t="n"/>
      <c r="AH207" s="562" t="n"/>
      <c r="AI207" s="443" t="n"/>
      <c r="AJ207" s="563" t="inlineStr">
        <is>
          <t>รวม</t>
        </is>
      </c>
      <c r="AK207" s="605">
        <f>SUM(AK73:AK206)</f>
        <v/>
      </c>
    </row>
    <row r="208">
      <c r="A208" s="564" t="n"/>
      <c r="B208" s="559" t="n"/>
      <c r="C208" s="559" t="n"/>
      <c r="D208" s="559" t="n"/>
      <c r="E208" s="559" t="n"/>
      <c r="F208" s="560" t="n"/>
      <c r="G208" s="560" t="n"/>
      <c r="H208" s="560" t="n"/>
      <c r="I208" s="560" t="n"/>
      <c r="J208" s="560" t="n"/>
      <c r="K208" s="560" t="n"/>
      <c r="L208" s="560" t="n"/>
      <c r="M208" s="560" t="n"/>
      <c r="N208" s="560" t="n"/>
      <c r="O208" s="560" t="n"/>
      <c r="P208" s="560" t="n"/>
      <c r="Q208" s="560" t="n"/>
      <c r="R208" s="560" t="n"/>
      <c r="S208" s="560" t="n"/>
      <c r="T208" s="560" t="n"/>
      <c r="U208" s="560" t="n"/>
      <c r="V208" s="560" t="n"/>
      <c r="W208" s="560" t="n"/>
      <c r="X208" s="560" t="n"/>
      <c r="Y208" s="560" t="n"/>
      <c r="Z208" s="560" t="n"/>
      <c r="AA208" s="560" t="n"/>
      <c r="AB208" s="560" t="n"/>
      <c r="AC208" s="565" t="n"/>
      <c r="AD208" s="565" t="n"/>
      <c r="AE208" s="711" t="inlineStr">
        <is>
          <t>หักคะแนน</t>
        </is>
      </c>
      <c r="AJ208" s="784" t="n"/>
      <c r="AK208" s="568" t="n"/>
    </row>
    <row r="209">
      <c r="A209" s="569" t="n"/>
      <c r="B209" s="559" t="n"/>
      <c r="C209" s="559" t="n"/>
      <c r="D209" s="570" t="n"/>
      <c r="E209" s="570" t="n"/>
      <c r="F209" s="571" t="n"/>
      <c r="G209" s="571" t="n"/>
      <c r="H209" s="571" t="n"/>
      <c r="I209" s="571" t="n"/>
      <c r="J209" s="571" t="n"/>
      <c r="K209" s="560" t="n"/>
      <c r="L209" s="571" t="n"/>
      <c r="M209" s="571" t="n"/>
      <c r="N209" s="571" t="n"/>
      <c r="O209" s="571" t="n"/>
      <c r="P209" s="571" t="n"/>
      <c r="Q209" s="571" t="n"/>
      <c r="R209" s="571" t="n"/>
      <c r="S209" s="571" t="n"/>
      <c r="T209" s="571" t="n"/>
      <c r="U209" s="560" t="n"/>
      <c r="V209" s="571" t="n"/>
      <c r="W209" s="571" t="n"/>
      <c r="X209" s="571" t="n"/>
      <c r="Y209" s="571" t="n"/>
      <c r="Z209" s="561" t="n"/>
      <c r="AA209" s="561" t="n"/>
      <c r="AB209" s="561" t="n"/>
      <c r="AC209" s="565" t="n"/>
      <c r="AD209" s="565" t="n"/>
      <c r="AE209" s="565" t="n"/>
      <c r="AF209" s="565" t="n"/>
      <c r="AG209" s="565" t="n"/>
      <c r="AH209" s="565" t="n"/>
      <c r="AI209" s="709" t="inlineStr">
        <is>
          <t>คะแนนสุทธิ</t>
        </is>
      </c>
      <c r="AJ209" s="784" t="n"/>
      <c r="AK209" s="568">
        <f> AK207 - AK208</f>
        <v/>
      </c>
    </row>
    <row r="210">
      <c r="A210" s="557" t="n"/>
      <c r="B210" s="572" t="n"/>
      <c r="C210" s="572" t="n"/>
      <c r="D210" s="570" t="n"/>
      <c r="E210" s="570" t="n"/>
      <c r="F210" s="571" t="n"/>
      <c r="G210" s="571" t="n"/>
      <c r="H210" s="571" t="n"/>
      <c r="I210" s="571" t="n"/>
      <c r="J210" s="571" t="n"/>
      <c r="K210" s="573" t="n"/>
      <c r="L210" s="571" t="n"/>
      <c r="M210" s="571" t="n"/>
      <c r="N210" s="571" t="n"/>
      <c r="O210" s="571" t="n"/>
      <c r="P210" s="571" t="n"/>
      <c r="Q210" s="571" t="n"/>
      <c r="R210" s="571" t="n"/>
      <c r="S210" s="571" t="n"/>
      <c r="T210" s="571" t="n"/>
      <c r="U210" s="571" t="n"/>
      <c r="V210" s="571" t="n"/>
      <c r="W210" s="571" t="n"/>
      <c r="X210" s="571" t="n"/>
      <c r="Y210" s="571" t="n"/>
      <c r="Z210" s="573" t="n"/>
      <c r="AA210" s="573" t="n"/>
      <c r="AB210" s="573" t="n"/>
      <c r="AC210" s="710" t="n"/>
      <c r="AD210" s="710" t="n"/>
      <c r="AE210" s="710" t="n"/>
      <c r="AF210" s="710" t="n"/>
      <c r="AG210" s="710" t="n"/>
      <c r="AH210" s="710" t="n"/>
      <c r="AI210" s="710" t="n"/>
      <c r="AJ210" s="711" t="n"/>
      <c r="AK210" s="574" t="n">
        <v>600</v>
      </c>
    </row>
    <row r="211" ht="50" customHeight="1">
      <c r="A211" s="575" t="inlineStr">
        <is>
          <t>ข้าพเจ้า ....................................................... ขอรับรองว่าได้ปฎิบัติงานจริง</t>
        </is>
      </c>
      <c r="B211" s="576" t="n"/>
      <c r="C211" s="576" t="n"/>
      <c r="D211" s="576" t="n"/>
      <c r="E211" s="576" t="n"/>
      <c r="F211" s="577" t="n"/>
      <c r="G211" s="577" t="n"/>
      <c r="H211" s="577" t="n"/>
      <c r="I211" s="577" t="n"/>
      <c r="J211" s="577" t="n"/>
      <c r="K211" s="578" t="n"/>
      <c r="L211" s="577" t="inlineStr">
        <is>
          <t xml:space="preserve">ลงชื่อ...........................................................     </t>
        </is>
      </c>
      <c r="M211" s="577" t="n"/>
      <c r="N211" s="577" t="n"/>
      <c r="O211" s="577" t="n"/>
      <c r="P211" s="577" t="n"/>
      <c r="Q211" s="577" t="n"/>
      <c r="R211" s="577" t="n"/>
      <c r="S211" s="577" t="n"/>
      <c r="T211" s="577" t="n"/>
      <c r="U211" s="577" t="n"/>
      <c r="V211" s="577" t="n"/>
      <c r="W211" s="577" t="n"/>
      <c r="X211" s="571" t="n"/>
      <c r="Y211" s="571" t="n"/>
      <c r="Z211" s="573" t="n"/>
      <c r="AA211" s="573" t="n"/>
      <c r="AB211" s="573" t="n"/>
      <c r="AC211" s="711" t="inlineStr">
        <is>
          <t xml:space="preserve">  ส่วนต่างแต้ม</t>
        </is>
      </c>
      <c r="AJ211" s="784" t="n"/>
      <c r="AK211" s="579">
        <f>AK209-AK210</f>
        <v/>
      </c>
    </row>
    <row r="212" ht="25" customHeight="1">
      <c r="A212" s="575" t="inlineStr">
        <is>
          <t xml:space="preserve">    ลงชื่อ ..................................................</t>
        </is>
      </c>
      <c r="B212" s="576" t="n"/>
      <c r="C212" s="576" t="n"/>
      <c r="D212" s="576" t="n"/>
      <c r="E212" s="576" t="n"/>
      <c r="F212" s="577" t="n"/>
      <c r="G212" s="577" t="n"/>
      <c r="H212" s="577" t="n"/>
      <c r="I212" s="577" t="n"/>
      <c r="J212" s="577" t="n"/>
      <c r="K212" s="580" t="n"/>
      <c r="L212" s="577" t="inlineStr">
        <is>
          <t>(.........................................................................)</t>
        </is>
      </c>
      <c r="M212" s="577" t="n"/>
      <c r="N212" s="577" t="n"/>
      <c r="O212" s="577" t="n"/>
      <c r="P212" s="577" t="n"/>
      <c r="Q212" s="577" t="n"/>
      <c r="R212" s="577" t="n"/>
      <c r="S212" s="577" t="n"/>
      <c r="T212" s="577" t="n"/>
      <c r="U212" s="577" t="n"/>
      <c r="V212" s="577" t="n"/>
      <c r="W212" s="577" t="n"/>
      <c r="X212" s="573" t="n"/>
      <c r="Y212" s="573" t="n"/>
      <c r="Z212" s="573" t="n"/>
      <c r="AA212" s="573" t="n"/>
      <c r="AB212" s="573" t="n"/>
      <c r="AC212" s="573" t="n"/>
      <c r="AD212" s="573" t="n"/>
      <c r="AE212" s="573" t="n"/>
      <c r="AF212" s="573" t="n"/>
      <c r="AG212" s="573" t="n"/>
      <c r="AH212" s="573" t="n"/>
      <c r="AI212" s="573" t="n"/>
      <c r="AJ212" s="573" t="n"/>
      <c r="AK212" s="581" t="n"/>
    </row>
    <row r="213" ht="25" customHeight="1">
      <c r="A213" s="575" t="inlineStr">
        <is>
          <t xml:space="preserve">      ( .......................................................... )</t>
        </is>
      </c>
      <c r="B213" s="576" t="n"/>
      <c r="C213" s="576" t="n"/>
      <c r="D213" s="576" t="n"/>
      <c r="E213" s="576" t="n"/>
      <c r="F213" s="577" t="n"/>
      <c r="G213" s="577" t="n"/>
      <c r="H213" s="577" t="n"/>
      <c r="I213" s="577" t="n"/>
      <c r="J213" s="577" t="n"/>
      <c r="K213" s="582" t="inlineStr">
        <is>
          <t xml:space="preserve">  หัวหน้าหน่วยงาน................................................</t>
        </is>
      </c>
      <c r="L213" s="583" t="n"/>
      <c r="M213" s="577" t="n"/>
      <c r="N213" s="577" t="n"/>
      <c r="O213" s="577" t="n"/>
      <c r="P213" s="577" t="n"/>
      <c r="Q213" s="577" t="n"/>
      <c r="R213" s="577" t="n"/>
      <c r="S213" s="577" t="n"/>
      <c r="T213" s="577" t="n"/>
      <c r="U213" s="577" t="n"/>
      <c r="V213" s="577" t="n"/>
      <c r="W213" s="577" t="n"/>
      <c r="X213" s="584" t="n"/>
      <c r="Y213" s="584" t="n"/>
      <c r="Z213" s="584" t="n"/>
      <c r="AA213" s="584" t="n"/>
      <c r="AB213" s="584" t="n"/>
      <c r="AC213" s="584" t="n"/>
      <c r="AD213" s="584" t="n"/>
      <c r="AE213" s="584" t="n"/>
      <c r="AF213" s="584" t="n"/>
      <c r="AG213" s="584" t="n"/>
      <c r="AH213" s="584" t="n"/>
      <c r="AI213" s="584" t="n"/>
      <c r="AJ213" s="584" t="n"/>
      <c r="AK213" s="581" t="n"/>
    </row>
    <row r="214" ht="25" customHeight="1">
      <c r="A214" s="575" t="inlineStr">
        <is>
          <t xml:space="preserve">            ตำแหน่ง พนักงานบริการ</t>
        </is>
      </c>
      <c r="B214" s="576" t="n"/>
      <c r="C214" s="576" t="n"/>
      <c r="D214" s="576" t="n"/>
      <c r="E214" s="576" t="n"/>
      <c r="F214" s="577" t="n"/>
      <c r="G214" s="577" t="n"/>
      <c r="H214" s="577" t="n"/>
      <c r="I214" s="577" t="n"/>
      <c r="J214" s="580" t="n"/>
      <c r="K214" s="580" t="n"/>
      <c r="L214" s="580" t="n"/>
      <c r="M214" s="580" t="n"/>
      <c r="N214" s="580" t="n"/>
      <c r="O214" s="580" t="n"/>
      <c r="P214" s="580" t="n"/>
      <c r="Q214" s="580" t="n"/>
      <c r="R214" s="580" t="n"/>
      <c r="S214" s="580" t="n"/>
      <c r="T214" s="580" t="n"/>
      <c r="U214" s="580" t="n"/>
      <c r="V214" s="580" t="n"/>
      <c r="W214" s="580" t="n"/>
      <c r="X214" s="561" t="n"/>
      <c r="Y214" s="561" t="n"/>
      <c r="Z214" s="561" t="n"/>
      <c r="AA214" s="561" t="n"/>
      <c r="AB214" s="561" t="n"/>
      <c r="AC214" s="561" t="n"/>
      <c r="AD214" s="561" t="n"/>
      <c r="AE214" s="561" t="n"/>
      <c r="AF214" s="561" t="n"/>
      <c r="AG214" s="561" t="n"/>
      <c r="AH214" s="561" t="n"/>
      <c r="AI214" s="561" t="n"/>
      <c r="AJ214" s="561" t="n"/>
      <c r="AK214" s="585" t="n"/>
    </row>
    <row r="215">
      <c r="A215" s="586" t="n"/>
      <c r="B215" s="587" t="n"/>
      <c r="C215" s="587" t="n"/>
      <c r="D215" s="587" t="n"/>
      <c r="E215" s="587" t="n"/>
      <c r="F215" s="443" t="n"/>
      <c r="G215" s="443" t="n"/>
      <c r="H215" s="443" t="n"/>
      <c r="I215" s="443" t="n"/>
      <c r="J215" s="443" t="n"/>
      <c r="K215" s="443" t="n"/>
      <c r="L215" s="443" t="n"/>
      <c r="M215" s="443" t="n"/>
      <c r="N215" s="443" t="n"/>
      <c r="O215" s="443" t="n"/>
      <c r="P215" s="443" t="n"/>
      <c r="Q215" s="443" t="n"/>
      <c r="R215" s="443" t="n"/>
      <c r="S215" s="443" t="n"/>
      <c r="T215" s="443" t="n"/>
      <c r="U215" s="443" t="n"/>
      <c r="V215" s="443" t="n"/>
      <c r="W215" s="443" t="n"/>
      <c r="X215" s="443" t="n"/>
      <c r="Y215" s="443" t="n"/>
      <c r="Z215" s="443" t="n"/>
      <c r="AA215" s="443" t="n"/>
      <c r="AB215" s="443" t="n"/>
      <c r="AC215" s="443" t="n"/>
      <c r="AD215" s="443" t="n"/>
      <c r="AE215" s="443" t="n"/>
      <c r="AF215" s="443" t="n"/>
      <c r="AG215" s="443" t="n"/>
      <c r="AH215" s="443" t="n"/>
      <c r="AI215" s="443" t="n"/>
      <c r="AJ215" s="443" t="n"/>
      <c r="AK215" s="588" t="n"/>
    </row>
    <row r="216">
      <c r="B216" s="500" t="n"/>
      <c r="C216" s="500" t="n"/>
      <c r="D216" s="500" t="n"/>
    </row>
    <row r="217">
      <c r="B217" s="500" t="n"/>
      <c r="C217" s="500" t="n"/>
      <c r="D217" s="500" t="n"/>
    </row>
    <row r="218">
      <c r="B218" s="500" t="n"/>
      <c r="C218" s="500" t="n"/>
      <c r="D218" s="500" t="n"/>
    </row>
    <row r="219">
      <c r="B219" s="500" t="n"/>
      <c r="C219" s="500" t="n"/>
      <c r="D219" s="500" t="n"/>
    </row>
    <row r="220">
      <c r="B220" s="500" t="n"/>
      <c r="C220" s="500" t="n"/>
      <c r="D220" s="500" t="n"/>
    </row>
    <row r="221">
      <c r="B221" s="500" t="n"/>
      <c r="C221" s="500" t="n"/>
      <c r="D221" s="500" t="n"/>
    </row>
    <row r="222">
      <c r="B222" s="500" t="n"/>
      <c r="C222" s="500" t="n"/>
      <c r="D222" s="500" t="n"/>
    </row>
    <row r="223">
      <c r="B223" s="500" t="n"/>
      <c r="C223" s="500" t="n"/>
      <c r="D223" s="500" t="n"/>
    </row>
    <row r="224">
      <c r="B224" s="500" t="n"/>
      <c r="C224" s="500" t="n"/>
      <c r="D224" s="500" t="n"/>
    </row>
    <row r="225">
      <c r="B225" s="500" t="n"/>
      <c r="C225" s="500" t="n"/>
      <c r="D225" s="500" t="n"/>
    </row>
    <row r="226">
      <c r="B226" s="500" t="n"/>
      <c r="C226" s="500" t="n"/>
      <c r="D226" s="500" t="n"/>
    </row>
    <row r="227">
      <c r="B227" s="500" t="n"/>
      <c r="C227" s="500" t="n"/>
      <c r="D227" s="500" t="n"/>
    </row>
    <row r="228">
      <c r="B228" s="500" t="n"/>
      <c r="C228" s="500" t="n"/>
      <c r="D228" s="500" t="n"/>
    </row>
    <row r="229">
      <c r="B229" s="500" t="n"/>
      <c r="C229" s="500" t="n"/>
      <c r="D229" s="500" t="n"/>
    </row>
    <row r="230">
      <c r="B230" s="500" t="n"/>
      <c r="C230" s="500" t="n"/>
      <c r="D230" s="500" t="n"/>
    </row>
    <row r="231">
      <c r="B231" s="500" t="n"/>
      <c r="C231" s="500" t="n"/>
      <c r="D231" s="500" t="n"/>
    </row>
    <row r="232">
      <c r="B232" s="500" t="n"/>
      <c r="C232" s="500" t="n"/>
      <c r="D232" s="500" t="n"/>
    </row>
    <row r="233">
      <c r="B233" s="500" t="n"/>
      <c r="C233" s="500" t="n"/>
      <c r="D233" s="500" t="n"/>
    </row>
    <row r="234">
      <c r="B234" s="500" t="n"/>
      <c r="C234" s="500" t="n"/>
      <c r="D234" s="500" t="n"/>
    </row>
    <row r="235">
      <c r="B235" s="500" t="n"/>
      <c r="C235" s="500" t="n"/>
      <c r="D235" s="500" t="n"/>
    </row>
    <row r="236">
      <c r="B236" s="500" t="n"/>
      <c r="C236" s="500" t="n"/>
      <c r="D236" s="500" t="n"/>
    </row>
    <row r="237">
      <c r="B237" s="500" t="n"/>
      <c r="C237" s="500" t="n"/>
      <c r="D237" s="500" t="n"/>
    </row>
    <row r="238">
      <c r="B238" s="500" t="n"/>
      <c r="C238" s="500" t="n"/>
      <c r="D238" s="500" t="n"/>
    </row>
    <row r="239">
      <c r="B239" s="500" t="n"/>
      <c r="C239" s="500" t="n"/>
      <c r="D239" s="500" t="n"/>
    </row>
    <row r="240">
      <c r="B240" s="500" t="n"/>
      <c r="C240" s="500" t="n"/>
      <c r="D240" s="500" t="n"/>
    </row>
    <row r="241">
      <c r="B241" s="500" t="n"/>
      <c r="C241" s="500" t="n"/>
      <c r="D241" s="500" t="n"/>
    </row>
    <row r="242">
      <c r="B242" s="500" t="n"/>
      <c r="C242" s="500" t="n"/>
      <c r="D242" s="500" t="n"/>
    </row>
    <row r="243">
      <c r="B243" s="500" t="n"/>
      <c r="C243" s="500" t="n"/>
      <c r="D243" s="500" t="n"/>
    </row>
    <row r="244">
      <c r="B244" s="500" t="n"/>
      <c r="C244" s="500" t="n"/>
      <c r="D244" s="500" t="n"/>
    </row>
    <row r="245">
      <c r="B245" s="500" t="n"/>
      <c r="C245" s="500" t="n"/>
      <c r="D245" s="500" t="n"/>
    </row>
    <row r="246">
      <c r="B246" s="500" t="n"/>
      <c r="C246" s="500" t="n"/>
      <c r="D246" s="500" t="n"/>
    </row>
    <row r="247">
      <c r="B247" s="500" t="n"/>
      <c r="C247" s="500" t="n"/>
      <c r="D247" s="500" t="n"/>
    </row>
    <row r="248">
      <c r="B248" s="500" t="n"/>
      <c r="C248" s="500" t="n"/>
      <c r="D248" s="500" t="n"/>
    </row>
    <row r="249">
      <c r="B249" s="500" t="n"/>
      <c r="C249" s="500" t="n"/>
      <c r="D249" s="500" t="n"/>
    </row>
    <row r="250">
      <c r="B250" s="500" t="n"/>
      <c r="C250" s="500" t="n"/>
      <c r="D250" s="500" t="n"/>
    </row>
    <row r="251">
      <c r="B251" s="500" t="n"/>
      <c r="C251" s="500" t="n"/>
      <c r="D251" s="500" t="n"/>
    </row>
    <row r="252">
      <c r="B252" s="500" t="n"/>
      <c r="C252" s="500" t="n"/>
      <c r="D252" s="500" t="n"/>
    </row>
    <row r="253">
      <c r="B253" s="500" t="n"/>
      <c r="C253" s="500" t="n"/>
      <c r="D253" s="500" t="n"/>
    </row>
    <row r="254">
      <c r="B254" s="500" t="n"/>
      <c r="C254" s="500" t="n"/>
      <c r="D254" s="500" t="n"/>
    </row>
    <row r="255">
      <c r="B255" s="500" t="n"/>
      <c r="C255" s="500" t="n"/>
      <c r="D255" s="500" t="n"/>
    </row>
    <row r="256">
      <c r="B256" s="500" t="n"/>
      <c r="C256" s="500" t="n"/>
      <c r="D256" s="500" t="n"/>
    </row>
    <row r="257">
      <c r="B257" s="500" t="n"/>
      <c r="C257" s="500" t="n"/>
      <c r="D257" s="500" t="n"/>
    </row>
    <row r="258">
      <c r="B258" s="500" t="n"/>
      <c r="C258" s="500" t="n"/>
      <c r="D258" s="500" t="n"/>
    </row>
    <row r="259">
      <c r="B259" s="500" t="n"/>
      <c r="C259" s="500" t="n"/>
      <c r="D259" s="500" t="n"/>
    </row>
    <row r="260">
      <c r="B260" s="500" t="n"/>
      <c r="C260" s="500" t="n"/>
      <c r="D260" s="500" t="n"/>
    </row>
    <row r="261">
      <c r="B261" s="500" t="n"/>
      <c r="C261" s="500" t="n"/>
      <c r="D261" s="500" t="n"/>
    </row>
    <row r="262">
      <c r="B262" s="500" t="n"/>
      <c r="C262" s="500" t="n"/>
      <c r="D262" s="500" t="n"/>
    </row>
    <row r="263">
      <c r="B263" s="500" t="n"/>
      <c r="C263" s="500" t="n"/>
      <c r="D263" s="500" t="n"/>
    </row>
    <row r="264">
      <c r="B264" s="500" t="n"/>
      <c r="C264" s="500" t="n"/>
      <c r="D264" s="500" t="n"/>
    </row>
    <row r="265">
      <c r="B265" s="500" t="n"/>
      <c r="C265" s="500" t="n"/>
      <c r="D265" s="500" t="n"/>
    </row>
    <row r="266">
      <c r="B266" s="500" t="n"/>
      <c r="C266" s="500" t="n"/>
      <c r="D266" s="500" t="n"/>
    </row>
    <row r="267">
      <c r="B267" s="500" t="n"/>
      <c r="C267" s="500" t="n"/>
      <c r="D267" s="500" t="n"/>
    </row>
    <row r="268">
      <c r="B268" s="500" t="n"/>
      <c r="C268" s="500" t="n"/>
      <c r="D268" s="500" t="n"/>
    </row>
    <row r="269">
      <c r="B269" s="500" t="n"/>
      <c r="C269" s="500" t="n"/>
      <c r="D269" s="500" t="n"/>
    </row>
    <row r="270">
      <c r="B270" s="500" t="n"/>
      <c r="C270" s="500" t="n"/>
      <c r="D270" s="500" t="n"/>
    </row>
    <row r="271">
      <c r="B271" s="500" t="n"/>
      <c r="C271" s="500" t="n"/>
      <c r="D271" s="500" t="n"/>
    </row>
    <row r="272">
      <c r="B272" s="500" t="n"/>
      <c r="C272" s="500" t="n"/>
      <c r="D272" s="500" t="n"/>
    </row>
    <row r="273">
      <c r="B273" s="500" t="n"/>
      <c r="C273" s="500" t="n"/>
      <c r="D273" s="500" t="n"/>
    </row>
    <row r="274">
      <c r="B274" s="500" t="n"/>
      <c r="C274" s="500" t="n"/>
      <c r="D274" s="500" t="n"/>
    </row>
    <row r="275">
      <c r="B275" s="500" t="n"/>
      <c r="C275" s="500" t="n"/>
      <c r="D275" s="500" t="n"/>
    </row>
    <row r="276">
      <c r="B276" s="500" t="n"/>
      <c r="C276" s="500" t="n"/>
      <c r="D276" s="500" t="n"/>
    </row>
    <row r="277">
      <c r="B277" s="500" t="n"/>
      <c r="C277" s="500" t="n"/>
      <c r="D277" s="500" t="n"/>
    </row>
    <row r="278">
      <c r="B278" s="500" t="n"/>
      <c r="C278" s="500" t="n"/>
      <c r="D278" s="500" t="n"/>
    </row>
    <row r="279">
      <c r="B279" s="500" t="n"/>
      <c r="C279" s="500" t="n"/>
      <c r="D279" s="500" t="n"/>
    </row>
    <row r="280">
      <c r="B280" s="500" t="n"/>
      <c r="C280" s="500" t="n"/>
      <c r="D280" s="500" t="n"/>
    </row>
    <row r="281">
      <c r="B281" s="500" t="n"/>
      <c r="C281" s="500" t="n"/>
      <c r="D281" s="500" t="n"/>
    </row>
    <row r="282">
      <c r="B282" s="500" t="n"/>
      <c r="C282" s="500" t="n"/>
      <c r="D282" s="500" t="n"/>
    </row>
    <row r="283">
      <c r="B283" s="500" t="n"/>
      <c r="C283" s="500" t="n"/>
      <c r="D283" s="500" t="n"/>
    </row>
    <row r="284">
      <c r="B284" s="500" t="n"/>
      <c r="C284" s="500" t="n"/>
      <c r="D284" s="500" t="n"/>
    </row>
    <row r="285">
      <c r="B285" s="500" t="n"/>
      <c r="C285" s="500" t="n"/>
      <c r="D285" s="500" t="n"/>
    </row>
    <row r="286">
      <c r="B286" s="500" t="n"/>
      <c r="C286" s="500" t="n"/>
      <c r="D286" s="500" t="n"/>
    </row>
    <row r="287">
      <c r="B287" s="500" t="n"/>
      <c r="C287" s="500" t="n"/>
      <c r="D287" s="500" t="n"/>
    </row>
    <row r="288">
      <c r="B288" s="500" t="n"/>
      <c r="C288" s="500" t="n"/>
      <c r="D288" s="500" t="n"/>
    </row>
    <row r="289">
      <c r="B289" s="500" t="n"/>
      <c r="C289" s="500" t="n"/>
      <c r="D289" s="500" t="n"/>
    </row>
    <row r="290">
      <c r="B290" s="500" t="n"/>
      <c r="C290" s="500" t="n"/>
      <c r="D290" s="500" t="n"/>
    </row>
    <row r="291">
      <c r="B291" s="500" t="n"/>
      <c r="C291" s="500" t="n"/>
      <c r="D291" s="500" t="n"/>
    </row>
    <row r="292">
      <c r="B292" s="500" t="n"/>
      <c r="C292" s="500" t="n"/>
      <c r="D292" s="500" t="n"/>
    </row>
    <row r="293">
      <c r="B293" s="500" t="n"/>
      <c r="C293" s="500" t="n"/>
      <c r="D293" s="500" t="n"/>
    </row>
    <row r="294">
      <c r="B294" s="500" t="n"/>
      <c r="C294" s="500" t="n"/>
      <c r="D294" s="500" t="n"/>
    </row>
    <row r="295">
      <c r="B295" s="500" t="n"/>
      <c r="C295" s="500" t="n"/>
      <c r="D295" s="500" t="n"/>
    </row>
    <row r="296">
      <c r="B296" s="500" t="n"/>
      <c r="C296" s="500" t="n"/>
      <c r="D296" s="500" t="n"/>
    </row>
    <row r="297">
      <c r="B297" s="500" t="n"/>
      <c r="C297" s="500" t="n"/>
      <c r="D297" s="500" t="n"/>
    </row>
    <row r="298">
      <c r="B298" s="500" t="n"/>
      <c r="C298" s="500" t="n"/>
      <c r="D298" s="500" t="n"/>
    </row>
    <row r="299">
      <c r="B299" s="500" t="n"/>
      <c r="C299" s="500" t="n"/>
      <c r="D299" s="500" t="n"/>
    </row>
    <row r="300">
      <c r="B300" s="500" t="n"/>
      <c r="C300" s="500" t="n"/>
      <c r="D300" s="500" t="n"/>
    </row>
    <row r="301">
      <c r="B301" s="500" t="n"/>
      <c r="C301" s="500" t="n"/>
      <c r="D301" s="500" t="n"/>
    </row>
    <row r="302">
      <c r="B302" s="500" t="n"/>
      <c r="C302" s="500" t="n"/>
      <c r="D302" s="500" t="n"/>
    </row>
    <row r="303">
      <c r="B303" s="500" t="n"/>
      <c r="C303" s="500" t="n"/>
      <c r="D303" s="500" t="n"/>
    </row>
    <row r="304">
      <c r="B304" s="500" t="n"/>
      <c r="C304" s="500" t="n"/>
      <c r="D304" s="500" t="n"/>
    </row>
    <row r="305">
      <c r="B305" s="500" t="n"/>
      <c r="C305" s="500" t="n"/>
      <c r="D305" s="500" t="n"/>
    </row>
    <row r="306">
      <c r="B306" s="500" t="n"/>
      <c r="C306" s="500" t="n"/>
      <c r="D306" s="500" t="n"/>
    </row>
    <row r="307">
      <c r="B307" s="500" t="n"/>
      <c r="C307" s="500" t="n"/>
      <c r="D307" s="500" t="n"/>
    </row>
    <row r="308">
      <c r="B308" s="500" t="n"/>
      <c r="C308" s="500" t="n"/>
      <c r="D308" s="500" t="n"/>
    </row>
    <row r="309">
      <c r="B309" s="500" t="n"/>
      <c r="C309" s="500" t="n"/>
      <c r="D309" s="500" t="n"/>
    </row>
    <row r="310">
      <c r="B310" s="500" t="n"/>
      <c r="C310" s="500" t="n"/>
      <c r="D310" s="500" t="n"/>
    </row>
    <row r="311">
      <c r="B311" s="500" t="n"/>
      <c r="C311" s="500" t="n"/>
      <c r="D311" s="500" t="n"/>
    </row>
    <row r="312">
      <c r="B312" s="500" t="n"/>
      <c r="C312" s="500" t="n"/>
      <c r="D312" s="500" t="n"/>
    </row>
    <row r="313">
      <c r="B313" s="500" t="n"/>
      <c r="C313" s="500" t="n"/>
      <c r="D313" s="500" t="n"/>
    </row>
    <row r="314">
      <c r="B314" s="500" t="n"/>
      <c r="C314" s="500" t="n"/>
      <c r="D314" s="500" t="n"/>
    </row>
    <row r="315">
      <c r="B315" s="500" t="n"/>
      <c r="C315" s="500" t="n"/>
      <c r="D315" s="500" t="n"/>
    </row>
    <row r="316">
      <c r="B316" s="500" t="n"/>
      <c r="C316" s="500" t="n"/>
      <c r="D316" s="500" t="n"/>
    </row>
    <row r="317">
      <c r="B317" s="500" t="n"/>
      <c r="C317" s="500" t="n"/>
      <c r="D317" s="500" t="n"/>
    </row>
    <row r="318">
      <c r="B318" s="500" t="n"/>
      <c r="C318" s="500" t="n"/>
      <c r="D318" s="500" t="n"/>
    </row>
    <row r="319">
      <c r="B319" s="500" t="n"/>
      <c r="C319" s="500" t="n"/>
      <c r="D319" s="500" t="n"/>
    </row>
    <row r="320">
      <c r="B320" s="500" t="n"/>
      <c r="C320" s="500" t="n"/>
      <c r="D320" s="500" t="n"/>
    </row>
    <row r="321">
      <c r="B321" s="500" t="n"/>
      <c r="C321" s="500" t="n"/>
      <c r="D321" s="500" t="n"/>
    </row>
    <row r="322">
      <c r="B322" s="500" t="n"/>
      <c r="C322" s="500" t="n"/>
      <c r="D322" s="500" t="n"/>
    </row>
    <row r="323">
      <c r="B323" s="500" t="n"/>
      <c r="C323" s="500" t="n"/>
      <c r="D323" s="500" t="n"/>
    </row>
    <row r="324">
      <c r="B324" s="500" t="n"/>
      <c r="C324" s="500" t="n"/>
      <c r="D324" s="500" t="n"/>
    </row>
    <row r="325">
      <c r="B325" s="500" t="n"/>
      <c r="C325" s="500" t="n"/>
      <c r="D325" s="500" t="n"/>
    </row>
    <row r="326">
      <c r="B326" s="500" t="n"/>
      <c r="C326" s="500" t="n"/>
      <c r="D326" s="500" t="n"/>
    </row>
    <row r="327">
      <c r="B327" s="500" t="n"/>
      <c r="C327" s="500" t="n"/>
      <c r="D327" s="500" t="n"/>
    </row>
    <row r="328">
      <c r="B328" s="500" t="n"/>
      <c r="C328" s="500" t="n"/>
      <c r="D328" s="500" t="n"/>
    </row>
    <row r="329">
      <c r="B329" s="500" t="n"/>
      <c r="C329" s="500" t="n"/>
      <c r="D329" s="500" t="n"/>
    </row>
    <row r="330">
      <c r="B330" s="500" t="n"/>
      <c r="C330" s="500" t="n"/>
      <c r="D330" s="500" t="n"/>
    </row>
    <row r="331">
      <c r="B331" s="500" t="n"/>
      <c r="C331" s="500" t="n"/>
      <c r="D331" s="500" t="n"/>
    </row>
    <row r="332">
      <c r="B332" s="500" t="n"/>
      <c r="C332" s="500" t="n"/>
      <c r="D332" s="500" t="n"/>
    </row>
    <row r="333">
      <c r="B333" s="500" t="n"/>
      <c r="C333" s="500" t="n"/>
      <c r="D333" s="500" t="n"/>
    </row>
    <row r="334">
      <c r="B334" s="500" t="n"/>
      <c r="C334" s="500" t="n"/>
      <c r="D334" s="500" t="n"/>
    </row>
    <row r="335">
      <c r="B335" s="500" t="n"/>
      <c r="C335" s="500" t="n"/>
      <c r="D335" s="500" t="n"/>
    </row>
    <row r="336">
      <c r="B336" s="500" t="n"/>
      <c r="C336" s="500" t="n"/>
      <c r="D336" s="500" t="n"/>
    </row>
    <row r="337">
      <c r="B337" s="500" t="n"/>
      <c r="C337" s="500" t="n"/>
      <c r="D337" s="500" t="n"/>
    </row>
    <row r="338">
      <c r="B338" s="500" t="n"/>
      <c r="C338" s="500" t="n"/>
      <c r="D338" s="500" t="n"/>
    </row>
    <row r="339">
      <c r="B339" s="500" t="n"/>
      <c r="C339" s="500" t="n"/>
      <c r="D339" s="500" t="n"/>
    </row>
    <row r="340">
      <c r="B340" s="500" t="n"/>
      <c r="C340" s="500" t="n"/>
      <c r="D340" s="500" t="n"/>
    </row>
    <row r="341">
      <c r="B341" s="500" t="n"/>
      <c r="C341" s="500" t="n"/>
      <c r="D341" s="500" t="n"/>
    </row>
    <row r="342">
      <c r="B342" s="500" t="n"/>
      <c r="C342" s="500" t="n"/>
      <c r="D342" s="500" t="n"/>
    </row>
    <row r="343">
      <c r="B343" s="500" t="n"/>
      <c r="C343" s="500" t="n"/>
      <c r="D343" s="500" t="n"/>
    </row>
    <row r="344">
      <c r="B344" s="500" t="n"/>
      <c r="C344" s="500" t="n"/>
      <c r="D344" s="500" t="n"/>
    </row>
    <row r="345">
      <c r="B345" s="500" t="n"/>
      <c r="C345" s="500" t="n"/>
      <c r="D345" s="500" t="n"/>
    </row>
    <row r="346">
      <c r="B346" s="500" t="n"/>
      <c r="C346" s="500" t="n"/>
      <c r="D346" s="500" t="n"/>
    </row>
    <row r="347">
      <c r="B347" s="500" t="n"/>
      <c r="C347" s="500" t="n"/>
      <c r="D347" s="500" t="n"/>
    </row>
    <row r="348">
      <c r="B348" s="500" t="n"/>
      <c r="C348" s="500" t="n"/>
      <c r="D348" s="500" t="n"/>
    </row>
    <row r="349">
      <c r="B349" s="500" t="n"/>
      <c r="C349" s="500" t="n"/>
      <c r="D349" s="500" t="n"/>
    </row>
    <row r="350">
      <c r="B350" s="500" t="n"/>
      <c r="C350" s="500" t="n"/>
      <c r="D350" s="500" t="n"/>
    </row>
    <row r="351">
      <c r="B351" s="500" t="n"/>
      <c r="C351" s="500" t="n"/>
      <c r="D351" s="500" t="n"/>
    </row>
    <row r="352">
      <c r="B352" s="500" t="n"/>
      <c r="C352" s="500" t="n"/>
      <c r="D352" s="500" t="n"/>
    </row>
    <row r="353">
      <c r="B353" s="500" t="n"/>
      <c r="C353" s="500" t="n"/>
      <c r="D353" s="500" t="n"/>
    </row>
    <row r="354">
      <c r="B354" s="500" t="n"/>
      <c r="C354" s="500" t="n"/>
      <c r="D354" s="500" t="n"/>
    </row>
    <row r="355">
      <c r="B355" s="500" t="n"/>
      <c r="C355" s="500" t="n"/>
      <c r="D355" s="500" t="n"/>
    </row>
    <row r="356">
      <c r="B356" s="500" t="n"/>
      <c r="C356" s="500" t="n"/>
      <c r="D356" s="500" t="n"/>
    </row>
    <row r="357">
      <c r="B357" s="500" t="n"/>
      <c r="C357" s="500" t="n"/>
      <c r="D357" s="500" t="n"/>
    </row>
    <row r="358">
      <c r="B358" s="500" t="n"/>
      <c r="C358" s="500" t="n"/>
      <c r="D358" s="500" t="n"/>
    </row>
    <row r="359">
      <c r="B359" s="500" t="n"/>
      <c r="C359" s="500" t="n"/>
      <c r="D359" s="500" t="n"/>
    </row>
    <row r="360">
      <c r="B360" s="500" t="n"/>
      <c r="C360" s="500" t="n"/>
      <c r="D360" s="500" t="n"/>
    </row>
    <row r="361">
      <c r="B361" s="500" t="n"/>
      <c r="C361" s="500" t="n"/>
      <c r="D361" s="500" t="n"/>
    </row>
    <row r="362">
      <c r="B362" s="500" t="n"/>
      <c r="C362" s="500" t="n"/>
      <c r="D362" s="500" t="n"/>
    </row>
    <row r="363">
      <c r="B363" s="500" t="n"/>
      <c r="C363" s="500" t="n"/>
      <c r="D363" s="500" t="n"/>
    </row>
    <row r="364">
      <c r="B364" s="500" t="n"/>
      <c r="C364" s="500" t="n"/>
      <c r="D364" s="500" t="n"/>
    </row>
    <row r="365">
      <c r="B365" s="500" t="n"/>
      <c r="C365" s="500" t="n"/>
      <c r="D365" s="500" t="n"/>
    </row>
    <row r="366">
      <c r="B366" s="500" t="n"/>
      <c r="C366" s="500" t="n"/>
      <c r="D366" s="500" t="n"/>
    </row>
    <row r="367">
      <c r="B367" s="500" t="n"/>
      <c r="C367" s="500" t="n"/>
      <c r="D367" s="500" t="n"/>
    </row>
    <row r="368">
      <c r="B368" s="500" t="n"/>
      <c r="C368" s="500" t="n"/>
      <c r="D368" s="500" t="n"/>
    </row>
    <row r="369">
      <c r="B369" s="500" t="n"/>
      <c r="C369" s="500" t="n"/>
      <c r="D369" s="500" t="n"/>
    </row>
    <row r="370">
      <c r="B370" s="500" t="n"/>
      <c r="C370" s="500" t="n"/>
      <c r="D370" s="500" t="n"/>
    </row>
    <row r="371">
      <c r="B371" s="500" t="n"/>
      <c r="C371" s="500" t="n"/>
      <c r="D371" s="500" t="n"/>
    </row>
    <row r="372">
      <c r="B372" s="500" t="n"/>
      <c r="C372" s="500" t="n"/>
      <c r="D372" s="500" t="n"/>
    </row>
    <row r="373">
      <c r="B373" s="500" t="n"/>
      <c r="C373" s="500" t="n"/>
      <c r="D373" s="500" t="n"/>
    </row>
    <row r="374">
      <c r="B374" s="500" t="n"/>
      <c r="C374" s="500" t="n"/>
      <c r="D374" s="500" t="n"/>
    </row>
    <row r="375">
      <c r="B375" s="500" t="n"/>
      <c r="C375" s="500" t="n"/>
      <c r="D375" s="500" t="n"/>
    </row>
    <row r="376">
      <c r="B376" s="500" t="n"/>
      <c r="C376" s="500" t="n"/>
      <c r="D376" s="500" t="n"/>
    </row>
    <row r="377">
      <c r="B377" s="500" t="n"/>
      <c r="C377" s="500" t="n"/>
      <c r="D377" s="500" t="n"/>
    </row>
    <row r="378">
      <c r="B378" s="500" t="n"/>
      <c r="C378" s="500" t="n"/>
      <c r="D378" s="500" t="n"/>
    </row>
    <row r="379">
      <c r="B379" s="500" t="n"/>
      <c r="C379" s="500" t="n"/>
      <c r="D379" s="500" t="n"/>
    </row>
    <row r="380">
      <c r="B380" s="500" t="n"/>
      <c r="C380" s="500" t="n"/>
      <c r="D380" s="500" t="n"/>
    </row>
    <row r="381">
      <c r="B381" s="500" t="n"/>
      <c r="C381" s="500" t="n"/>
      <c r="D381" s="500" t="n"/>
    </row>
    <row r="382">
      <c r="B382" s="500" t="n"/>
      <c r="C382" s="500" t="n"/>
      <c r="D382" s="500" t="n"/>
    </row>
    <row r="383">
      <c r="B383" s="500" t="n"/>
      <c r="C383" s="500" t="n"/>
      <c r="D383" s="500" t="n"/>
    </row>
    <row r="384">
      <c r="B384" s="500" t="n"/>
      <c r="C384" s="500" t="n"/>
      <c r="D384" s="500" t="n"/>
    </row>
    <row r="385">
      <c r="B385" s="500" t="n"/>
      <c r="C385" s="500" t="n"/>
      <c r="D385" s="500" t="n"/>
    </row>
    <row r="386">
      <c r="B386" s="500" t="n"/>
      <c r="C386" s="500" t="n"/>
      <c r="D386" s="500" t="n"/>
    </row>
    <row r="387">
      <c r="B387" s="500" t="n"/>
      <c r="C387" s="500" t="n"/>
      <c r="D387" s="500" t="n"/>
    </row>
    <row r="388">
      <c r="B388" s="500" t="n"/>
      <c r="C388" s="500" t="n"/>
      <c r="D388" s="500" t="n"/>
    </row>
    <row r="389">
      <c r="B389" s="500" t="n"/>
      <c r="C389" s="500" t="n"/>
      <c r="D389" s="500" t="n"/>
    </row>
    <row r="390">
      <c r="B390" s="500" t="n"/>
      <c r="C390" s="500" t="n"/>
      <c r="D390" s="500" t="n"/>
    </row>
    <row r="391">
      <c r="B391" s="500" t="n"/>
      <c r="C391" s="500" t="n"/>
      <c r="D391" s="500" t="n"/>
    </row>
    <row r="392">
      <c r="B392" s="500" t="n"/>
      <c r="C392" s="500" t="n"/>
      <c r="D392" s="500" t="n"/>
    </row>
    <row r="393">
      <c r="B393" s="500" t="n"/>
      <c r="C393" s="500" t="n"/>
      <c r="D393" s="500" t="n"/>
    </row>
    <row r="394">
      <c r="B394" s="500" t="n"/>
      <c r="C394" s="500" t="n"/>
      <c r="D394" s="500" t="n"/>
    </row>
    <row r="395">
      <c r="B395" s="500" t="n"/>
      <c r="C395" s="500" t="n"/>
      <c r="D395" s="500" t="n"/>
    </row>
    <row r="396">
      <c r="B396" s="500" t="n"/>
      <c r="C396" s="500" t="n"/>
      <c r="D396" s="500" t="n"/>
    </row>
    <row r="397">
      <c r="B397" s="500" t="n"/>
      <c r="C397" s="500" t="n"/>
      <c r="D397" s="500" t="n"/>
    </row>
    <row r="398">
      <c r="B398" s="500" t="n"/>
      <c r="C398" s="500" t="n"/>
      <c r="D398" s="500" t="n"/>
    </row>
    <row r="399">
      <c r="B399" s="500" t="n"/>
      <c r="C399" s="500" t="n"/>
      <c r="D399" s="500" t="n"/>
    </row>
    <row r="400">
      <c r="B400" s="500" t="n"/>
      <c r="C400" s="500" t="n"/>
      <c r="D400" s="500" t="n"/>
    </row>
    <row r="401">
      <c r="B401" s="500" t="n"/>
      <c r="C401" s="500" t="n"/>
      <c r="D401" s="500" t="n"/>
    </row>
    <row r="402">
      <c r="B402" s="500" t="n"/>
      <c r="C402" s="500" t="n"/>
      <c r="D402" s="500" t="n"/>
    </row>
    <row r="403">
      <c r="B403" s="500" t="n"/>
      <c r="C403" s="500" t="n"/>
      <c r="D403" s="500" t="n"/>
    </row>
    <row r="404">
      <c r="B404" s="500" t="n"/>
      <c r="C404" s="500" t="n"/>
      <c r="D404" s="500" t="n"/>
    </row>
    <row r="405">
      <c r="B405" s="500" t="n"/>
      <c r="C405" s="500" t="n"/>
      <c r="D405" s="500" t="n"/>
    </row>
    <row r="406">
      <c r="B406" s="500" t="n"/>
      <c r="C406" s="500" t="n"/>
      <c r="D406" s="500" t="n"/>
    </row>
    <row r="407">
      <c r="B407" s="500" t="n"/>
      <c r="C407" s="500" t="n"/>
      <c r="D407" s="500" t="n"/>
    </row>
    <row r="408">
      <c r="B408" s="500" t="n"/>
      <c r="C408" s="500" t="n"/>
      <c r="D408" s="500" t="n"/>
    </row>
    <row r="409">
      <c r="B409" s="500" t="n"/>
      <c r="C409" s="500" t="n"/>
      <c r="D409" s="500" t="n"/>
    </row>
    <row r="410">
      <c r="B410" s="500" t="n"/>
      <c r="C410" s="500" t="n"/>
      <c r="D410" s="500" t="n"/>
    </row>
    <row r="411">
      <c r="B411" s="500" t="n"/>
      <c r="C411" s="500" t="n"/>
      <c r="D411" s="500" t="n"/>
    </row>
    <row r="412">
      <c r="B412" s="500" t="n"/>
      <c r="C412" s="500" t="n"/>
      <c r="D412" s="500" t="n"/>
    </row>
    <row r="413">
      <c r="B413" s="500" t="n"/>
      <c r="C413" s="500" t="n"/>
      <c r="D413" s="500" t="n"/>
    </row>
    <row r="414">
      <c r="B414" s="500" t="n"/>
      <c r="C414" s="500" t="n"/>
      <c r="D414" s="500" t="n"/>
    </row>
    <row r="415">
      <c r="B415" s="500" t="n"/>
      <c r="C415" s="500" t="n"/>
      <c r="D415" s="500" t="n"/>
    </row>
    <row r="416">
      <c r="B416" s="500" t="n"/>
      <c r="C416" s="500" t="n"/>
      <c r="D416" s="500" t="n"/>
    </row>
    <row r="417">
      <c r="B417" s="500" t="n"/>
      <c r="C417" s="500" t="n"/>
      <c r="D417" s="500" t="n"/>
    </row>
    <row r="418">
      <c r="B418" s="500" t="n"/>
      <c r="C418" s="500" t="n"/>
      <c r="D418" s="500" t="n"/>
    </row>
    <row r="419">
      <c r="B419" s="500" t="n"/>
      <c r="C419" s="500" t="n"/>
      <c r="D419" s="500" t="n"/>
    </row>
    <row r="420">
      <c r="B420" s="500" t="n"/>
      <c r="C420" s="500" t="n"/>
      <c r="D420" s="500" t="n"/>
    </row>
    <row r="421">
      <c r="B421" s="500" t="n"/>
      <c r="C421" s="500" t="n"/>
      <c r="D421" s="500" t="n"/>
    </row>
    <row r="422">
      <c r="B422" s="500" t="n"/>
      <c r="C422" s="500" t="n"/>
      <c r="D422" s="500" t="n"/>
    </row>
    <row r="423">
      <c r="B423" s="500" t="n"/>
      <c r="C423" s="500" t="n"/>
      <c r="D423" s="500" t="n"/>
    </row>
    <row r="424">
      <c r="B424" s="500" t="n"/>
      <c r="C424" s="500" t="n"/>
      <c r="D424" s="500" t="n"/>
    </row>
    <row r="425">
      <c r="B425" s="500" t="n"/>
      <c r="C425" s="500" t="n"/>
      <c r="D425" s="500" t="n"/>
    </row>
    <row r="426">
      <c r="B426" s="500" t="n"/>
      <c r="C426" s="500" t="n"/>
      <c r="D426" s="500" t="n"/>
    </row>
    <row r="427">
      <c r="B427" s="500" t="n"/>
      <c r="C427" s="500" t="n"/>
      <c r="D427" s="500" t="n"/>
    </row>
    <row r="428">
      <c r="B428" s="500" t="n"/>
      <c r="C428" s="500" t="n"/>
      <c r="D428" s="500" t="n"/>
    </row>
    <row r="429">
      <c r="B429" s="500" t="n"/>
      <c r="C429" s="500" t="n"/>
      <c r="D429" s="500" t="n"/>
    </row>
    <row r="430">
      <c r="B430" s="500" t="n"/>
      <c r="C430" s="500" t="n"/>
      <c r="D430" s="500" t="n"/>
    </row>
    <row r="431">
      <c r="B431" s="500" t="n"/>
      <c r="C431" s="500" t="n"/>
      <c r="D431" s="500" t="n"/>
    </row>
    <row r="432">
      <c r="B432" s="500" t="n"/>
      <c r="C432" s="500" t="n"/>
      <c r="D432" s="500" t="n"/>
    </row>
    <row r="433">
      <c r="B433" s="500" t="n"/>
      <c r="C433" s="500" t="n"/>
      <c r="D433" s="500" t="n"/>
    </row>
    <row r="434">
      <c r="B434" s="500" t="n"/>
      <c r="C434" s="500" t="n"/>
      <c r="D434" s="500" t="n"/>
    </row>
    <row r="435">
      <c r="B435" s="500" t="n"/>
      <c r="C435" s="500" t="n"/>
      <c r="D435" s="500" t="n"/>
    </row>
    <row r="436">
      <c r="B436" s="500" t="n"/>
      <c r="C436" s="500" t="n"/>
      <c r="D436" s="500" t="n"/>
    </row>
    <row r="437">
      <c r="B437" s="500" t="n"/>
      <c r="C437" s="500" t="n"/>
      <c r="D437" s="500" t="n"/>
    </row>
    <row r="438">
      <c r="B438" s="500" t="n"/>
      <c r="C438" s="500" t="n"/>
      <c r="D438" s="500" t="n"/>
    </row>
    <row r="439">
      <c r="B439" s="500" t="n"/>
      <c r="C439" s="500" t="n"/>
      <c r="D439" s="500" t="n"/>
    </row>
    <row r="440">
      <c r="B440" s="500" t="n"/>
      <c r="C440" s="500" t="n"/>
      <c r="D440" s="500" t="n"/>
    </row>
    <row r="441">
      <c r="B441" s="500" t="n"/>
      <c r="C441" s="500" t="n"/>
      <c r="D441" s="500" t="n"/>
    </row>
    <row r="442">
      <c r="B442" s="500" t="n"/>
      <c r="C442" s="500" t="n"/>
      <c r="D442" s="500" t="n"/>
    </row>
    <row r="443">
      <c r="B443" s="500" t="n"/>
      <c r="C443" s="500" t="n"/>
      <c r="D443" s="500" t="n"/>
    </row>
    <row r="444">
      <c r="B444" s="500" t="n"/>
      <c r="C444" s="500" t="n"/>
      <c r="D444" s="500" t="n"/>
    </row>
    <row r="445">
      <c r="B445" s="500" t="n"/>
      <c r="C445" s="500" t="n"/>
      <c r="D445" s="500" t="n"/>
    </row>
    <row r="446">
      <c r="B446" s="500" t="n"/>
      <c r="C446" s="500" t="n"/>
      <c r="D446" s="500" t="n"/>
    </row>
    <row r="447">
      <c r="B447" s="500" t="n"/>
      <c r="C447" s="500" t="n"/>
      <c r="D447" s="500" t="n"/>
    </row>
    <row r="448">
      <c r="B448" s="500" t="n"/>
      <c r="C448" s="500" t="n"/>
      <c r="D448" s="500" t="n"/>
    </row>
    <row r="449">
      <c r="B449" s="500" t="n"/>
      <c r="C449" s="500" t="n"/>
      <c r="D449" s="500" t="n"/>
    </row>
    <row r="450">
      <c r="B450" s="500" t="n"/>
      <c r="C450" s="500" t="n"/>
      <c r="D450" s="500" t="n"/>
    </row>
    <row r="451">
      <c r="B451" s="500" t="n"/>
      <c r="C451" s="500" t="n"/>
      <c r="D451" s="500" t="n"/>
    </row>
    <row r="452">
      <c r="B452" s="500" t="n"/>
      <c r="C452" s="500" t="n"/>
      <c r="D452" s="500" t="n"/>
    </row>
    <row r="453">
      <c r="B453" s="500" t="n"/>
      <c r="C453" s="500" t="n"/>
      <c r="D453" s="500" t="n"/>
    </row>
    <row r="454">
      <c r="B454" s="500" t="n"/>
      <c r="C454" s="500" t="n"/>
      <c r="D454" s="500" t="n"/>
    </row>
    <row r="455">
      <c r="B455" s="500" t="n"/>
      <c r="C455" s="500" t="n"/>
      <c r="D455" s="500" t="n"/>
    </row>
    <row r="456">
      <c r="B456" s="500" t="n"/>
      <c r="C456" s="500" t="n"/>
      <c r="D456" s="500" t="n"/>
    </row>
    <row r="457">
      <c r="B457" s="500" t="n"/>
      <c r="C457" s="500" t="n"/>
      <c r="D457" s="500" t="n"/>
    </row>
    <row r="458">
      <c r="B458" s="500" t="n"/>
      <c r="C458" s="500" t="n"/>
      <c r="D458" s="500" t="n"/>
    </row>
    <row r="459">
      <c r="B459" s="500" t="n"/>
      <c r="C459" s="500" t="n"/>
      <c r="D459" s="500" t="n"/>
    </row>
    <row r="460">
      <c r="B460" s="500" t="n"/>
      <c r="C460" s="500" t="n"/>
      <c r="D460" s="500" t="n"/>
    </row>
    <row r="461">
      <c r="B461" s="500" t="n"/>
      <c r="C461" s="500" t="n"/>
      <c r="D461" s="500" t="n"/>
    </row>
    <row r="462">
      <c r="B462" s="500" t="n"/>
      <c r="C462" s="500" t="n"/>
      <c r="D462" s="500" t="n"/>
    </row>
    <row r="463">
      <c r="B463" s="500" t="n"/>
      <c r="C463" s="500" t="n"/>
      <c r="D463" s="500" t="n"/>
    </row>
    <row r="464">
      <c r="B464" s="500" t="n"/>
      <c r="C464" s="500" t="n"/>
      <c r="D464" s="500" t="n"/>
    </row>
    <row r="465">
      <c r="B465" s="500" t="n"/>
      <c r="C465" s="500" t="n"/>
      <c r="D465" s="500" t="n"/>
    </row>
    <row r="466">
      <c r="B466" s="500" t="n"/>
      <c r="C466" s="500" t="n"/>
      <c r="D466" s="500" t="n"/>
    </row>
    <row r="467">
      <c r="B467" s="500" t="n"/>
      <c r="C467" s="500" t="n"/>
      <c r="D467" s="500" t="n"/>
    </row>
    <row r="468">
      <c r="B468" s="500" t="n"/>
      <c r="C468" s="500" t="n"/>
      <c r="D468" s="500" t="n"/>
    </row>
    <row r="469">
      <c r="B469" s="500" t="n"/>
      <c r="C469" s="500" t="n"/>
      <c r="D469" s="500" t="n"/>
    </row>
    <row r="470">
      <c r="B470" s="500" t="n"/>
      <c r="C470" s="500" t="n"/>
      <c r="D470" s="500" t="n"/>
    </row>
    <row r="471">
      <c r="B471" s="500" t="n"/>
      <c r="C471" s="500" t="n"/>
      <c r="D471" s="500" t="n"/>
    </row>
    <row r="472">
      <c r="B472" s="500" t="n"/>
      <c r="C472" s="500" t="n"/>
      <c r="D472" s="500" t="n"/>
    </row>
    <row r="473">
      <c r="B473" s="500" t="n"/>
      <c r="C473" s="500" t="n"/>
      <c r="D473" s="500" t="n"/>
    </row>
    <row r="474">
      <c r="B474" s="500" t="n"/>
      <c r="C474" s="500" t="n"/>
      <c r="D474" s="500" t="n"/>
    </row>
    <row r="475">
      <c r="B475" s="500" t="n"/>
      <c r="C475" s="500" t="n"/>
      <c r="D475" s="500" t="n"/>
    </row>
    <row r="476">
      <c r="B476" s="500" t="n"/>
      <c r="C476" s="500" t="n"/>
      <c r="D476" s="500" t="n"/>
    </row>
    <row r="477">
      <c r="B477" s="500" t="n"/>
      <c r="C477" s="500" t="n"/>
      <c r="D477" s="500" t="n"/>
    </row>
    <row r="478">
      <c r="B478" s="500" t="n"/>
      <c r="C478" s="500" t="n"/>
      <c r="D478" s="500" t="n"/>
    </row>
    <row r="479">
      <c r="B479" s="500" t="n"/>
      <c r="C479" s="500" t="n"/>
      <c r="D479" s="500" t="n"/>
    </row>
    <row r="480">
      <c r="B480" s="500" t="n"/>
      <c r="C480" s="500" t="n"/>
      <c r="D480" s="500" t="n"/>
    </row>
    <row r="481">
      <c r="B481" s="500" t="n"/>
      <c r="C481" s="500" t="n"/>
      <c r="D481" s="500" t="n"/>
    </row>
    <row r="482">
      <c r="B482" s="500" t="n"/>
      <c r="C482" s="500" t="n"/>
      <c r="D482" s="500" t="n"/>
    </row>
    <row r="483">
      <c r="B483" s="500" t="n"/>
      <c r="C483" s="500" t="n"/>
      <c r="D483" s="500" t="n"/>
    </row>
    <row r="484">
      <c r="B484" s="500" t="n"/>
      <c r="C484" s="500" t="n"/>
      <c r="D484" s="500" t="n"/>
    </row>
    <row r="485">
      <c r="B485" s="500" t="n"/>
      <c r="C485" s="500" t="n"/>
      <c r="D485" s="500" t="n"/>
    </row>
    <row r="486">
      <c r="B486" s="500" t="n"/>
      <c r="C486" s="500" t="n"/>
      <c r="D486" s="500" t="n"/>
    </row>
    <row r="487">
      <c r="B487" s="500" t="n"/>
      <c r="C487" s="500" t="n"/>
      <c r="D487" s="500" t="n"/>
    </row>
    <row r="488">
      <c r="B488" s="500" t="n"/>
      <c r="C488" s="500" t="n"/>
      <c r="D488" s="500" t="n"/>
    </row>
    <row r="489">
      <c r="B489" s="500" t="n"/>
      <c r="C489" s="500" t="n"/>
      <c r="D489" s="500" t="n"/>
    </row>
    <row r="490">
      <c r="B490" s="500" t="n"/>
      <c r="C490" s="500" t="n"/>
      <c r="D490" s="500" t="n"/>
    </row>
    <row r="491">
      <c r="B491" s="500" t="n"/>
      <c r="C491" s="500" t="n"/>
      <c r="D491" s="500" t="n"/>
    </row>
    <row r="492">
      <c r="B492" s="500" t="n"/>
      <c r="C492" s="500" t="n"/>
      <c r="D492" s="500" t="n"/>
    </row>
    <row r="493">
      <c r="B493" s="500" t="n"/>
      <c r="C493" s="500" t="n"/>
      <c r="D493" s="500" t="n"/>
    </row>
    <row r="494">
      <c r="B494" s="500" t="n"/>
      <c r="C494" s="500" t="n"/>
      <c r="D494" s="500" t="n"/>
    </row>
    <row r="495">
      <c r="B495" s="500" t="n"/>
      <c r="C495" s="500" t="n"/>
      <c r="D495" s="500" t="n"/>
    </row>
    <row r="496">
      <c r="B496" s="500" t="n"/>
      <c r="C496" s="500" t="n"/>
      <c r="D496" s="500" t="n"/>
    </row>
    <row r="497">
      <c r="B497" s="500" t="n"/>
      <c r="C497" s="500" t="n"/>
      <c r="D497" s="500" t="n"/>
    </row>
    <row r="498">
      <c r="B498" s="500" t="n"/>
      <c r="C498" s="500" t="n"/>
      <c r="D498" s="500" t="n"/>
    </row>
    <row r="499">
      <c r="B499" s="500" t="n"/>
      <c r="C499" s="500" t="n"/>
      <c r="D499" s="500" t="n"/>
    </row>
    <row r="500">
      <c r="B500" s="500" t="n"/>
      <c r="C500" s="500" t="n"/>
      <c r="D500" s="500" t="n"/>
    </row>
    <row r="501">
      <c r="B501" s="500" t="n"/>
      <c r="C501" s="500" t="n"/>
      <c r="D501" s="500" t="n"/>
    </row>
    <row r="502">
      <c r="B502" s="500" t="n"/>
      <c r="C502" s="500" t="n"/>
      <c r="D502" s="500" t="n"/>
    </row>
    <row r="503">
      <c r="B503" s="500" t="n"/>
      <c r="C503" s="500" t="n"/>
      <c r="D503" s="500" t="n"/>
    </row>
    <row r="504">
      <c r="B504" s="500" t="n"/>
      <c r="C504" s="500" t="n"/>
      <c r="D504" s="500" t="n"/>
    </row>
    <row r="505">
      <c r="B505" s="500" t="n"/>
      <c r="C505" s="500" t="n"/>
      <c r="D505" s="500" t="n"/>
    </row>
    <row r="506">
      <c r="B506" s="500" t="n"/>
      <c r="C506" s="500" t="n"/>
      <c r="D506" s="500" t="n"/>
    </row>
    <row r="507">
      <c r="B507" s="500" t="n"/>
      <c r="C507" s="500" t="n"/>
      <c r="D507" s="500" t="n"/>
    </row>
    <row r="508">
      <c r="B508" s="500" t="n"/>
      <c r="C508" s="500" t="n"/>
      <c r="D508" s="500" t="n"/>
    </row>
    <row r="509">
      <c r="B509" s="500" t="n"/>
      <c r="C509" s="500" t="n"/>
      <c r="D509" s="500" t="n"/>
    </row>
    <row r="510">
      <c r="B510" s="500" t="n"/>
      <c r="C510" s="500" t="n"/>
      <c r="D510" s="500" t="n"/>
    </row>
    <row r="511">
      <c r="B511" s="500" t="n"/>
      <c r="C511" s="500" t="n"/>
      <c r="D511" s="500" t="n"/>
    </row>
    <row r="512">
      <c r="B512" s="500" t="n"/>
      <c r="C512" s="500" t="n"/>
      <c r="D512" s="500" t="n"/>
    </row>
    <row r="513">
      <c r="B513" s="500" t="n"/>
      <c r="C513" s="500" t="n"/>
      <c r="D513" s="500" t="n"/>
    </row>
    <row r="514">
      <c r="B514" s="500" t="n"/>
      <c r="C514" s="500" t="n"/>
      <c r="D514" s="500" t="n"/>
    </row>
    <row r="515">
      <c r="B515" s="500" t="n"/>
      <c r="C515" s="500" t="n"/>
      <c r="D515" s="500" t="n"/>
    </row>
    <row r="516">
      <c r="B516" s="500" t="n"/>
      <c r="C516" s="500" t="n"/>
      <c r="D516" s="500" t="n"/>
    </row>
    <row r="517">
      <c r="B517" s="500" t="n"/>
      <c r="C517" s="500" t="n"/>
      <c r="D517" s="500" t="n"/>
    </row>
    <row r="518">
      <c r="B518" s="500" t="n"/>
      <c r="C518" s="500" t="n"/>
      <c r="D518" s="500" t="n"/>
    </row>
    <row r="519">
      <c r="B519" s="500" t="n"/>
      <c r="C519" s="500" t="n"/>
      <c r="D519" s="500" t="n"/>
    </row>
    <row r="520">
      <c r="B520" s="500" t="n"/>
      <c r="C520" s="500" t="n"/>
      <c r="D520" s="500" t="n"/>
    </row>
    <row r="521">
      <c r="B521" s="500" t="n"/>
      <c r="C521" s="500" t="n"/>
      <c r="D521" s="500" t="n"/>
    </row>
    <row r="522">
      <c r="B522" s="500" t="n"/>
      <c r="C522" s="500" t="n"/>
      <c r="D522" s="500" t="n"/>
    </row>
    <row r="523">
      <c r="B523" s="500" t="n"/>
      <c r="C523" s="500" t="n"/>
      <c r="D523" s="500" t="n"/>
    </row>
    <row r="524">
      <c r="B524" s="500" t="n"/>
      <c r="C524" s="500" t="n"/>
      <c r="D524" s="500" t="n"/>
    </row>
    <row r="525">
      <c r="B525" s="500" t="n"/>
      <c r="C525" s="500" t="n"/>
      <c r="D525" s="500" t="n"/>
    </row>
    <row r="526">
      <c r="B526" s="500" t="n"/>
      <c r="C526" s="500" t="n"/>
      <c r="D526" s="500" t="n"/>
    </row>
    <row r="527">
      <c r="B527" s="500" t="n"/>
      <c r="C527" s="500" t="n"/>
      <c r="D527" s="500" t="n"/>
    </row>
    <row r="528">
      <c r="B528" s="500" t="n"/>
      <c r="C528" s="500" t="n"/>
      <c r="D528" s="500" t="n"/>
    </row>
    <row r="529">
      <c r="B529" s="500" t="n"/>
      <c r="C529" s="500" t="n"/>
      <c r="D529" s="500" t="n"/>
    </row>
    <row r="530">
      <c r="B530" s="500" t="n"/>
      <c r="C530" s="500" t="n"/>
      <c r="D530" s="500" t="n"/>
    </row>
    <row r="531">
      <c r="B531" s="500" t="n"/>
      <c r="C531" s="500" t="n"/>
      <c r="D531" s="500" t="n"/>
    </row>
    <row r="532">
      <c r="B532" s="500" t="n"/>
      <c r="C532" s="500" t="n"/>
      <c r="D532" s="500" t="n"/>
    </row>
    <row r="533">
      <c r="B533" s="500" t="n"/>
      <c r="C533" s="500" t="n"/>
      <c r="D533" s="500" t="n"/>
    </row>
    <row r="534">
      <c r="B534" s="500" t="n"/>
      <c r="C534" s="500" t="n"/>
      <c r="D534" s="500" t="n"/>
    </row>
    <row r="535">
      <c r="B535" s="500" t="n"/>
      <c r="C535" s="500" t="n"/>
      <c r="D535" s="500" t="n"/>
    </row>
    <row r="536">
      <c r="B536" s="500" t="n"/>
      <c r="C536" s="500" t="n"/>
      <c r="D536" s="500" t="n"/>
    </row>
    <row r="537">
      <c r="B537" s="500" t="n"/>
      <c r="C537" s="500" t="n"/>
      <c r="D537" s="500" t="n"/>
    </row>
    <row r="538">
      <c r="B538" s="500" t="n"/>
      <c r="C538" s="500" t="n"/>
      <c r="D538" s="500" t="n"/>
    </row>
    <row r="539">
      <c r="B539" s="500" t="n"/>
      <c r="C539" s="500" t="n"/>
      <c r="D539" s="500" t="n"/>
    </row>
    <row r="540">
      <c r="B540" s="500" t="n"/>
      <c r="C540" s="500" t="n"/>
      <c r="D540" s="500" t="n"/>
    </row>
    <row r="541">
      <c r="B541" s="500" t="n"/>
      <c r="C541" s="500" t="n"/>
      <c r="D541" s="500" t="n"/>
    </row>
    <row r="542">
      <c r="B542" s="500" t="n"/>
      <c r="C542" s="500" t="n"/>
      <c r="D542" s="500" t="n"/>
    </row>
    <row r="543">
      <c r="B543" s="500" t="n"/>
      <c r="C543" s="500" t="n"/>
      <c r="D543" s="500" t="n"/>
    </row>
    <row r="544">
      <c r="B544" s="500" t="n"/>
      <c r="C544" s="500" t="n"/>
      <c r="D544" s="500" t="n"/>
    </row>
    <row r="545">
      <c r="B545" s="500" t="n"/>
      <c r="C545" s="500" t="n"/>
      <c r="D545" s="500" t="n"/>
    </row>
    <row r="546">
      <c r="B546" s="500" t="n"/>
      <c r="C546" s="500" t="n"/>
      <c r="D546" s="500" t="n"/>
    </row>
    <row r="547">
      <c r="B547" s="500" t="n"/>
      <c r="C547" s="500" t="n"/>
      <c r="D547" s="500" t="n"/>
    </row>
    <row r="548">
      <c r="B548" s="500" t="n"/>
      <c r="C548" s="500" t="n"/>
      <c r="D548" s="500" t="n"/>
    </row>
    <row r="549">
      <c r="B549" s="500" t="n"/>
      <c r="C549" s="500" t="n"/>
      <c r="D549" s="500" t="n"/>
    </row>
    <row r="550">
      <c r="B550" s="500" t="n"/>
      <c r="C550" s="500" t="n"/>
      <c r="D550" s="500" t="n"/>
    </row>
    <row r="551">
      <c r="B551" s="500" t="n"/>
      <c r="C551" s="500" t="n"/>
      <c r="D551" s="500" t="n"/>
    </row>
    <row r="552">
      <c r="B552" s="500" t="n"/>
      <c r="C552" s="500" t="n"/>
      <c r="D552" s="500" t="n"/>
    </row>
    <row r="553">
      <c r="B553" s="500" t="n"/>
      <c r="C553" s="500" t="n"/>
      <c r="D553" s="500" t="n"/>
    </row>
    <row r="554">
      <c r="B554" s="500" t="n"/>
      <c r="C554" s="500" t="n"/>
      <c r="D554" s="500" t="n"/>
    </row>
    <row r="555">
      <c r="B555" s="500" t="n"/>
      <c r="C555" s="500" t="n"/>
      <c r="D555" s="500" t="n"/>
    </row>
    <row r="556">
      <c r="B556" s="500" t="n"/>
      <c r="C556" s="500" t="n"/>
      <c r="D556" s="500" t="n"/>
    </row>
    <row r="557">
      <c r="B557" s="500" t="n"/>
      <c r="C557" s="500" t="n"/>
      <c r="D557" s="500" t="n"/>
    </row>
    <row r="558">
      <c r="B558" s="500" t="n"/>
      <c r="C558" s="500" t="n"/>
      <c r="D558" s="500" t="n"/>
    </row>
    <row r="559">
      <c r="B559" s="500" t="n"/>
      <c r="C559" s="500" t="n"/>
      <c r="D559" s="500" t="n"/>
    </row>
    <row r="560">
      <c r="B560" s="500" t="n"/>
      <c r="C560" s="500" t="n"/>
      <c r="D560" s="500" t="n"/>
    </row>
    <row r="561">
      <c r="B561" s="500" t="n"/>
      <c r="C561" s="500" t="n"/>
      <c r="D561" s="500" t="n"/>
    </row>
    <row r="562">
      <c r="B562" s="500" t="n"/>
      <c r="C562" s="500" t="n"/>
      <c r="D562" s="500" t="n"/>
    </row>
    <row r="563">
      <c r="B563" s="500" t="n"/>
      <c r="C563" s="500" t="n"/>
      <c r="D563" s="500" t="n"/>
    </row>
    <row r="564">
      <c r="B564" s="500" t="n"/>
      <c r="C564" s="500" t="n"/>
      <c r="D564" s="500" t="n"/>
    </row>
    <row r="565">
      <c r="B565" s="500" t="n"/>
      <c r="C565" s="500" t="n"/>
      <c r="D565" s="500" t="n"/>
    </row>
    <row r="566">
      <c r="B566" s="500" t="n"/>
      <c r="C566" s="500" t="n"/>
      <c r="D566" s="500" t="n"/>
    </row>
    <row r="567">
      <c r="B567" s="500" t="n"/>
      <c r="C567" s="500" t="n"/>
      <c r="D567" s="500" t="n"/>
    </row>
    <row r="568">
      <c r="B568" s="500" t="n"/>
      <c r="C568" s="500" t="n"/>
      <c r="D568" s="500" t="n"/>
    </row>
    <row r="569">
      <c r="B569" s="500" t="n"/>
      <c r="C569" s="500" t="n"/>
      <c r="D569" s="500" t="n"/>
    </row>
    <row r="570">
      <c r="B570" s="500" t="n"/>
      <c r="C570" s="500" t="n"/>
      <c r="D570" s="500" t="n"/>
    </row>
    <row r="571">
      <c r="B571" s="500" t="n"/>
      <c r="C571" s="500" t="n"/>
      <c r="D571" s="500" t="n"/>
    </row>
    <row r="572">
      <c r="B572" s="500" t="n"/>
      <c r="C572" s="500" t="n"/>
      <c r="D572" s="500" t="n"/>
    </row>
    <row r="573">
      <c r="B573" s="500" t="n"/>
      <c r="C573" s="500" t="n"/>
      <c r="D573" s="500" t="n"/>
    </row>
    <row r="574">
      <c r="B574" s="500" t="n"/>
      <c r="C574" s="500" t="n"/>
      <c r="D574" s="500" t="n"/>
    </row>
    <row r="575">
      <c r="B575" s="500" t="n"/>
      <c r="C575" s="500" t="n"/>
      <c r="D575" s="500" t="n"/>
    </row>
    <row r="576">
      <c r="B576" s="500" t="n"/>
      <c r="C576" s="500" t="n"/>
      <c r="D576" s="500" t="n"/>
    </row>
    <row r="577">
      <c r="B577" s="500" t="n"/>
      <c r="C577" s="500" t="n"/>
      <c r="D577" s="500" t="n"/>
    </row>
    <row r="578">
      <c r="B578" s="500" t="n"/>
      <c r="C578" s="500" t="n"/>
      <c r="D578" s="500" t="n"/>
    </row>
    <row r="579">
      <c r="B579" s="500" t="n"/>
      <c r="C579" s="500" t="n"/>
      <c r="D579" s="500" t="n"/>
    </row>
    <row r="580">
      <c r="B580" s="500" t="n"/>
      <c r="C580" s="500" t="n"/>
      <c r="D580" s="500" t="n"/>
    </row>
    <row r="581">
      <c r="B581" s="500" t="n"/>
      <c r="C581" s="500" t="n"/>
      <c r="D581" s="500" t="n"/>
    </row>
    <row r="582">
      <c r="B582" s="500" t="n"/>
      <c r="C582" s="500" t="n"/>
      <c r="D582" s="500" t="n"/>
    </row>
    <row r="583">
      <c r="B583" s="500" t="n"/>
      <c r="C583" s="500" t="n"/>
      <c r="D583" s="500" t="n"/>
    </row>
    <row r="584">
      <c r="B584" s="500" t="n"/>
      <c r="C584" s="500" t="n"/>
      <c r="D584" s="500" t="n"/>
    </row>
    <row r="585">
      <c r="B585" s="500" t="n"/>
      <c r="C585" s="500" t="n"/>
      <c r="D585" s="500" t="n"/>
    </row>
    <row r="586">
      <c r="B586" s="500" t="n"/>
      <c r="C586" s="500" t="n"/>
      <c r="D586" s="500" t="n"/>
    </row>
    <row r="587">
      <c r="B587" s="500" t="n"/>
      <c r="C587" s="500" t="n"/>
      <c r="D587" s="500" t="n"/>
    </row>
    <row r="588">
      <c r="B588" s="500" t="n"/>
      <c r="C588" s="500" t="n"/>
      <c r="D588" s="500" t="n"/>
    </row>
    <row r="589">
      <c r="B589" s="500" t="n"/>
      <c r="C589" s="500" t="n"/>
      <c r="D589" s="500" t="n"/>
    </row>
    <row r="590">
      <c r="B590" s="500" t="n"/>
      <c r="C590" s="500" t="n"/>
      <c r="D590" s="500" t="n"/>
    </row>
    <row r="591">
      <c r="B591" s="500" t="n"/>
      <c r="C591" s="500" t="n"/>
      <c r="D591" s="500" t="n"/>
    </row>
    <row r="592">
      <c r="B592" s="500" t="n"/>
      <c r="C592" s="500" t="n"/>
      <c r="D592" s="500" t="n"/>
    </row>
    <row r="593">
      <c r="B593" s="500" t="n"/>
      <c r="C593" s="500" t="n"/>
      <c r="D593" s="500" t="n"/>
    </row>
    <row r="594">
      <c r="B594" s="500" t="n"/>
      <c r="C594" s="500" t="n"/>
      <c r="D594" s="500" t="n"/>
    </row>
    <row r="595">
      <c r="B595" s="500" t="n"/>
      <c r="C595" s="500" t="n"/>
      <c r="D595" s="500" t="n"/>
    </row>
    <row r="596">
      <c r="B596" s="500" t="n"/>
      <c r="C596" s="500" t="n"/>
      <c r="D596" s="500" t="n"/>
    </row>
    <row r="597">
      <c r="B597" s="500" t="n"/>
      <c r="C597" s="500" t="n"/>
      <c r="D597" s="500" t="n"/>
    </row>
    <row r="598">
      <c r="B598" s="500" t="n"/>
      <c r="C598" s="500" t="n"/>
      <c r="D598" s="500" t="n"/>
    </row>
    <row r="599">
      <c r="B599" s="500" t="n"/>
      <c r="C599" s="500" t="n"/>
      <c r="D599" s="500" t="n"/>
    </row>
    <row r="600">
      <c r="B600" s="500" t="n"/>
      <c r="C600" s="500" t="n"/>
      <c r="D600" s="500" t="n"/>
    </row>
    <row r="601">
      <c r="B601" s="500" t="n"/>
      <c r="C601" s="500" t="n"/>
      <c r="D601" s="500" t="n"/>
    </row>
    <row r="602">
      <c r="B602" s="500" t="n"/>
      <c r="C602" s="500" t="n"/>
      <c r="D602" s="500" t="n"/>
    </row>
    <row r="603">
      <c r="B603" s="500" t="n"/>
      <c r="C603" s="500" t="n"/>
      <c r="D603" s="500" t="n"/>
    </row>
    <row r="604">
      <c r="B604" s="500" t="n"/>
      <c r="C604" s="500" t="n"/>
      <c r="D604" s="500" t="n"/>
    </row>
    <row r="605">
      <c r="B605" s="500" t="n"/>
      <c r="C605" s="500" t="n"/>
      <c r="D605" s="500" t="n"/>
    </row>
    <row r="606">
      <c r="B606" s="500" t="n"/>
      <c r="C606" s="500" t="n"/>
      <c r="D606" s="500" t="n"/>
    </row>
    <row r="607">
      <c r="B607" s="500" t="n"/>
      <c r="C607" s="500" t="n"/>
      <c r="D607" s="500" t="n"/>
    </row>
    <row r="608">
      <c r="B608" s="500" t="n"/>
      <c r="C608" s="500" t="n"/>
      <c r="D608" s="500" t="n"/>
    </row>
    <row r="609">
      <c r="B609" s="500" t="n"/>
      <c r="C609" s="500" t="n"/>
      <c r="D609" s="500" t="n"/>
    </row>
    <row r="610">
      <c r="B610" s="500" t="n"/>
      <c r="C610" s="500" t="n"/>
      <c r="D610" s="500" t="n"/>
    </row>
    <row r="611">
      <c r="B611" s="500" t="n"/>
      <c r="C611" s="500" t="n"/>
      <c r="D611" s="500" t="n"/>
    </row>
    <row r="612">
      <c r="B612" s="500" t="n"/>
      <c r="C612" s="500" t="n"/>
      <c r="D612" s="500" t="n"/>
    </row>
    <row r="613">
      <c r="B613" s="500" t="n"/>
      <c r="C613" s="500" t="n"/>
      <c r="D613" s="500" t="n"/>
    </row>
    <row r="614">
      <c r="B614" s="500" t="n"/>
      <c r="C614" s="500" t="n"/>
      <c r="D614" s="500" t="n"/>
    </row>
    <row r="615">
      <c r="B615" s="500" t="n"/>
      <c r="C615" s="500" t="n"/>
      <c r="D615" s="500" t="n"/>
    </row>
    <row r="616">
      <c r="B616" s="500" t="n"/>
      <c r="C616" s="500" t="n"/>
      <c r="D616" s="500" t="n"/>
    </row>
    <row r="617">
      <c r="B617" s="500" t="n"/>
      <c r="C617" s="500" t="n"/>
      <c r="D617" s="500" t="n"/>
    </row>
    <row r="618">
      <c r="B618" s="500" t="n"/>
      <c r="C618" s="500" t="n"/>
      <c r="D618" s="500" t="n"/>
    </row>
    <row r="619">
      <c r="B619" s="500" t="n"/>
      <c r="C619" s="500" t="n"/>
      <c r="D619" s="500" t="n"/>
    </row>
    <row r="620">
      <c r="B620" s="500" t="n"/>
      <c r="C620" s="500" t="n"/>
      <c r="D620" s="500" t="n"/>
    </row>
    <row r="621">
      <c r="B621" s="500" t="n"/>
      <c r="C621" s="500" t="n"/>
      <c r="D621" s="500" t="n"/>
    </row>
    <row r="622">
      <c r="B622" s="500" t="n"/>
      <c r="C622" s="500" t="n"/>
      <c r="D622" s="500" t="n"/>
    </row>
    <row r="623">
      <c r="B623" s="500" t="n"/>
      <c r="C623" s="500" t="n"/>
      <c r="D623" s="500" t="n"/>
    </row>
    <row r="624">
      <c r="B624" s="500" t="n"/>
      <c r="C624" s="500" t="n"/>
      <c r="D624" s="500" t="n"/>
    </row>
    <row r="625">
      <c r="B625" s="500" t="n"/>
      <c r="C625" s="500" t="n"/>
      <c r="D625" s="500" t="n"/>
    </row>
    <row r="626">
      <c r="B626" s="500" t="n"/>
      <c r="C626" s="500" t="n"/>
      <c r="D626" s="500" t="n"/>
    </row>
    <row r="627">
      <c r="B627" s="500" t="n"/>
      <c r="C627" s="500" t="n"/>
      <c r="D627" s="500" t="n"/>
    </row>
    <row r="628">
      <c r="B628" s="500" t="n"/>
      <c r="C628" s="500" t="n"/>
      <c r="D628" s="500" t="n"/>
    </row>
    <row r="629">
      <c r="B629" s="500" t="n"/>
      <c r="C629" s="500" t="n"/>
      <c r="D629" s="500" t="n"/>
    </row>
    <row r="630">
      <c r="B630" s="500" t="n"/>
      <c r="C630" s="500" t="n"/>
      <c r="D630" s="500" t="n"/>
    </row>
    <row r="631">
      <c r="B631" s="500" t="n"/>
      <c r="C631" s="500" t="n"/>
      <c r="D631" s="500" t="n"/>
    </row>
    <row r="632">
      <c r="B632" s="500" t="n"/>
      <c r="C632" s="500" t="n"/>
      <c r="D632" s="500" t="n"/>
    </row>
    <row r="633">
      <c r="B633" s="500" t="n"/>
      <c r="C633" s="500" t="n"/>
      <c r="D633" s="500" t="n"/>
    </row>
    <row r="634">
      <c r="B634" s="500" t="n"/>
      <c r="C634" s="500" t="n"/>
      <c r="D634" s="500" t="n"/>
    </row>
    <row r="635">
      <c r="B635" s="500" t="n"/>
      <c r="C635" s="500" t="n"/>
      <c r="D635" s="500" t="n"/>
    </row>
    <row r="636">
      <c r="B636" s="500" t="n"/>
      <c r="C636" s="500" t="n"/>
      <c r="D636" s="500" t="n"/>
    </row>
    <row r="637">
      <c r="B637" s="500" t="n"/>
      <c r="C637" s="500" t="n"/>
      <c r="D637" s="500" t="n"/>
    </row>
    <row r="638">
      <c r="B638" s="500" t="n"/>
      <c r="C638" s="500" t="n"/>
      <c r="D638" s="500" t="n"/>
    </row>
    <row r="639">
      <c r="B639" s="500" t="n"/>
      <c r="C639" s="500" t="n"/>
      <c r="D639" s="500" t="n"/>
    </row>
    <row r="640">
      <c r="B640" s="500" t="n"/>
      <c r="C640" s="500" t="n"/>
      <c r="D640" s="500" t="n"/>
    </row>
    <row r="641">
      <c r="B641" s="500" t="n"/>
      <c r="C641" s="500" t="n"/>
      <c r="D641" s="500" t="n"/>
    </row>
    <row r="642">
      <c r="B642" s="500" t="n"/>
      <c r="C642" s="500" t="n"/>
      <c r="D642" s="500" t="n"/>
    </row>
    <row r="643">
      <c r="B643" s="500" t="n"/>
      <c r="C643" s="500" t="n"/>
      <c r="D643" s="500" t="n"/>
    </row>
    <row r="644">
      <c r="B644" s="500" t="n"/>
      <c r="C644" s="500" t="n"/>
      <c r="D644" s="500" t="n"/>
    </row>
    <row r="645">
      <c r="B645" s="500" t="n"/>
      <c r="C645" s="500" t="n"/>
      <c r="D645" s="500" t="n"/>
    </row>
    <row r="646">
      <c r="B646" s="500" t="n"/>
      <c r="C646" s="500" t="n"/>
      <c r="D646" s="500" t="n"/>
    </row>
    <row r="647">
      <c r="B647" s="500" t="n"/>
      <c r="C647" s="500" t="n"/>
      <c r="D647" s="500" t="n"/>
    </row>
    <row r="648">
      <c r="B648" s="500" t="n"/>
      <c r="C648" s="500" t="n"/>
      <c r="D648" s="500" t="n"/>
    </row>
    <row r="649">
      <c r="B649" s="500" t="n"/>
      <c r="C649" s="500" t="n"/>
      <c r="D649" s="500" t="n"/>
    </row>
    <row r="650">
      <c r="B650" s="500" t="n"/>
      <c r="C650" s="500" t="n"/>
      <c r="D650" s="500" t="n"/>
    </row>
    <row r="651">
      <c r="B651" s="500" t="n"/>
      <c r="C651" s="500" t="n"/>
      <c r="D651" s="500" t="n"/>
    </row>
    <row r="652">
      <c r="B652" s="500" t="n"/>
      <c r="C652" s="500" t="n"/>
      <c r="D652" s="500" t="n"/>
    </row>
    <row r="653">
      <c r="B653" s="500" t="n"/>
      <c r="C653" s="500" t="n"/>
      <c r="D653" s="500" t="n"/>
    </row>
    <row r="654">
      <c r="B654" s="500" t="n"/>
      <c r="C654" s="500" t="n"/>
      <c r="D654" s="500" t="n"/>
    </row>
    <row r="655">
      <c r="B655" s="500" t="n"/>
      <c r="C655" s="500" t="n"/>
      <c r="D655" s="500" t="n"/>
    </row>
    <row r="656">
      <c r="B656" s="500" t="n"/>
      <c r="C656" s="500" t="n"/>
      <c r="D656" s="500" t="n"/>
    </row>
    <row r="657">
      <c r="B657" s="500" t="n"/>
      <c r="C657" s="500" t="n"/>
      <c r="D657" s="500" t="n"/>
    </row>
    <row r="658">
      <c r="B658" s="500" t="n"/>
      <c r="C658" s="500" t="n"/>
      <c r="D658" s="500" t="n"/>
    </row>
    <row r="659">
      <c r="B659" s="500" t="n"/>
      <c r="C659" s="500" t="n"/>
      <c r="D659" s="500" t="n"/>
    </row>
    <row r="660">
      <c r="B660" s="500" t="n"/>
      <c r="C660" s="500" t="n"/>
      <c r="D660" s="500" t="n"/>
    </row>
    <row r="661">
      <c r="B661" s="500" t="n"/>
      <c r="C661" s="500" t="n"/>
      <c r="D661" s="500" t="n"/>
    </row>
    <row r="662">
      <c r="B662" s="500" t="n"/>
      <c r="C662" s="500" t="n"/>
      <c r="D662" s="500" t="n"/>
    </row>
    <row r="663">
      <c r="B663" s="500" t="n"/>
      <c r="C663" s="500" t="n"/>
      <c r="D663" s="500" t="n"/>
    </row>
    <row r="664">
      <c r="B664" s="500" t="n"/>
      <c r="C664" s="500" t="n"/>
      <c r="D664" s="500" t="n"/>
    </row>
    <row r="665">
      <c r="B665" s="500" t="n"/>
      <c r="C665" s="500" t="n"/>
      <c r="D665" s="500" t="n"/>
    </row>
    <row r="666">
      <c r="B666" s="500" t="n"/>
      <c r="C666" s="500" t="n"/>
      <c r="D666" s="500" t="n"/>
    </row>
    <row r="667">
      <c r="B667" s="500" t="n"/>
      <c r="C667" s="500" t="n"/>
      <c r="D667" s="500" t="n"/>
    </row>
    <row r="668">
      <c r="B668" s="500" t="n"/>
      <c r="C668" s="500" t="n"/>
      <c r="D668" s="500" t="n"/>
    </row>
    <row r="669">
      <c r="B669" s="500" t="n"/>
      <c r="C669" s="500" t="n"/>
      <c r="D669" s="500" t="n"/>
    </row>
    <row r="670">
      <c r="B670" s="500" t="n"/>
      <c r="C670" s="500" t="n"/>
      <c r="D670" s="500" t="n"/>
    </row>
    <row r="671">
      <c r="B671" s="500" t="n"/>
      <c r="C671" s="500" t="n"/>
      <c r="D671" s="500" t="n"/>
    </row>
    <row r="672">
      <c r="B672" s="500" t="n"/>
      <c r="C672" s="500" t="n"/>
      <c r="D672" s="500" t="n"/>
    </row>
    <row r="673">
      <c r="B673" s="500" t="n"/>
      <c r="C673" s="500" t="n"/>
      <c r="D673" s="500" t="n"/>
    </row>
    <row r="674">
      <c r="B674" s="500" t="n"/>
      <c r="C674" s="500" t="n"/>
      <c r="D674" s="500" t="n"/>
    </row>
    <row r="675">
      <c r="B675" s="500" t="n"/>
      <c r="C675" s="500" t="n"/>
      <c r="D675" s="500" t="n"/>
    </row>
    <row r="676">
      <c r="B676" s="500" t="n"/>
      <c r="C676" s="500" t="n"/>
      <c r="D676" s="500" t="n"/>
    </row>
    <row r="677">
      <c r="B677" s="500" t="n"/>
      <c r="C677" s="500" t="n"/>
      <c r="D677" s="500" t="n"/>
    </row>
    <row r="678">
      <c r="B678" s="500" t="n"/>
      <c r="C678" s="500" t="n"/>
      <c r="D678" s="500" t="n"/>
    </row>
    <row r="679">
      <c r="B679" s="500" t="n"/>
      <c r="C679" s="500" t="n"/>
      <c r="D679" s="500" t="n"/>
    </row>
    <row r="680">
      <c r="B680" s="500" t="n"/>
      <c r="C680" s="500" t="n"/>
      <c r="D680" s="500" t="n"/>
    </row>
    <row r="681">
      <c r="B681" s="500" t="n"/>
      <c r="C681" s="500" t="n"/>
      <c r="D681" s="500" t="n"/>
    </row>
    <row r="682">
      <c r="B682" s="500" t="n"/>
      <c r="C682" s="500" t="n"/>
      <c r="D682" s="500" t="n"/>
    </row>
    <row r="683">
      <c r="B683" s="500" t="n"/>
      <c r="C683" s="500" t="n"/>
      <c r="D683" s="500" t="n"/>
    </row>
    <row r="684">
      <c r="B684" s="500" t="n"/>
      <c r="C684" s="500" t="n"/>
      <c r="D684" s="500" t="n"/>
    </row>
    <row r="685">
      <c r="B685" s="500" t="n"/>
      <c r="C685" s="500" t="n"/>
      <c r="D685" s="500" t="n"/>
    </row>
    <row r="686">
      <c r="B686" s="500" t="n"/>
      <c r="C686" s="500" t="n"/>
      <c r="D686" s="500" t="n"/>
    </row>
    <row r="687">
      <c r="B687" s="500" t="n"/>
      <c r="C687" s="500" t="n"/>
      <c r="D687" s="500" t="n"/>
    </row>
    <row r="688">
      <c r="B688" s="500" t="n"/>
      <c r="C688" s="500" t="n"/>
      <c r="D688" s="500" t="n"/>
    </row>
    <row r="689">
      <c r="B689" s="500" t="n"/>
      <c r="C689" s="500" t="n"/>
      <c r="D689" s="500" t="n"/>
    </row>
    <row r="690">
      <c r="B690" s="500" t="n"/>
      <c r="C690" s="500" t="n"/>
      <c r="D690" s="500" t="n"/>
    </row>
    <row r="691">
      <c r="B691" s="500" t="n"/>
      <c r="C691" s="500" t="n"/>
      <c r="D691" s="500" t="n"/>
    </row>
    <row r="692">
      <c r="B692" s="500" t="n"/>
      <c r="C692" s="500" t="n"/>
      <c r="D692" s="500" t="n"/>
    </row>
    <row r="693">
      <c r="B693" s="500" t="n"/>
      <c r="C693" s="500" t="n"/>
      <c r="D693" s="500" t="n"/>
    </row>
    <row r="694">
      <c r="B694" s="500" t="n"/>
      <c r="C694" s="500" t="n"/>
      <c r="D694" s="500" t="n"/>
    </row>
    <row r="695">
      <c r="B695" s="500" t="n"/>
      <c r="C695" s="500" t="n"/>
      <c r="D695" s="500" t="n"/>
    </row>
    <row r="696">
      <c r="B696" s="500" t="n"/>
      <c r="C696" s="500" t="n"/>
      <c r="D696" s="500" t="n"/>
    </row>
    <row r="697">
      <c r="B697" s="500" t="n"/>
      <c r="C697" s="500" t="n"/>
      <c r="D697" s="500" t="n"/>
    </row>
    <row r="698">
      <c r="B698" s="500" t="n"/>
      <c r="C698" s="500" t="n"/>
      <c r="D698" s="500" t="n"/>
    </row>
    <row r="699">
      <c r="B699" s="500" t="n"/>
      <c r="C699" s="500" t="n"/>
      <c r="D699" s="500" t="n"/>
    </row>
    <row r="700">
      <c r="B700" s="500" t="n"/>
      <c r="C700" s="500" t="n"/>
      <c r="D700" s="500" t="n"/>
    </row>
    <row r="701">
      <c r="B701" s="500" t="n"/>
      <c r="C701" s="500" t="n"/>
      <c r="D701" s="500" t="n"/>
    </row>
    <row r="702">
      <c r="B702" s="500" t="n"/>
      <c r="C702" s="500" t="n"/>
      <c r="D702" s="500" t="n"/>
    </row>
    <row r="703">
      <c r="B703" s="500" t="n"/>
      <c r="C703" s="500" t="n"/>
      <c r="D703" s="500" t="n"/>
    </row>
    <row r="704">
      <c r="B704" s="500" t="n"/>
      <c r="C704" s="500" t="n"/>
      <c r="D704" s="500" t="n"/>
    </row>
    <row r="705">
      <c r="B705" s="500" t="n"/>
      <c r="C705" s="500" t="n"/>
      <c r="D705" s="500" t="n"/>
    </row>
    <row r="706">
      <c r="B706" s="500" t="n"/>
      <c r="C706" s="500" t="n"/>
      <c r="D706" s="500" t="n"/>
    </row>
    <row r="707">
      <c r="B707" s="500" t="n"/>
      <c r="C707" s="500" t="n"/>
      <c r="D707" s="500" t="n"/>
    </row>
    <row r="708">
      <c r="B708" s="500" t="n"/>
      <c r="C708" s="500" t="n"/>
      <c r="D708" s="500" t="n"/>
    </row>
    <row r="709">
      <c r="B709" s="500" t="n"/>
      <c r="C709" s="500" t="n"/>
      <c r="D709" s="500" t="n"/>
    </row>
    <row r="710">
      <c r="B710" s="500" t="n"/>
      <c r="C710" s="500" t="n"/>
      <c r="D710" s="500" t="n"/>
    </row>
    <row r="711">
      <c r="B711" s="500" t="n"/>
      <c r="C711" s="500" t="n"/>
      <c r="D711" s="500" t="n"/>
    </row>
    <row r="712">
      <c r="B712" s="500" t="n"/>
      <c r="C712" s="500" t="n"/>
      <c r="D712" s="500" t="n"/>
    </row>
    <row r="713">
      <c r="B713" s="500" t="n"/>
      <c r="C713" s="500" t="n"/>
      <c r="D713" s="500" t="n"/>
    </row>
    <row r="714">
      <c r="B714" s="500" t="n"/>
      <c r="C714" s="500" t="n"/>
      <c r="D714" s="500" t="n"/>
    </row>
    <row r="715">
      <c r="B715" s="500" t="n"/>
      <c r="C715" s="500" t="n"/>
      <c r="D715" s="500" t="n"/>
    </row>
    <row r="716">
      <c r="B716" s="500" t="n"/>
      <c r="C716" s="500" t="n"/>
      <c r="D716" s="500" t="n"/>
    </row>
    <row r="717">
      <c r="B717" s="500" t="n"/>
      <c r="C717" s="500" t="n"/>
      <c r="D717" s="500" t="n"/>
    </row>
    <row r="718">
      <c r="B718" s="500" t="n"/>
      <c r="C718" s="500" t="n"/>
      <c r="D718" s="500" t="n"/>
    </row>
    <row r="719">
      <c r="B719" s="500" t="n"/>
      <c r="C719" s="500" t="n"/>
      <c r="D719" s="500" t="n"/>
    </row>
    <row r="720">
      <c r="B720" s="500" t="n"/>
      <c r="C720" s="500" t="n"/>
      <c r="D720" s="500" t="n"/>
    </row>
    <row r="721">
      <c r="B721" s="500" t="n"/>
      <c r="C721" s="500" t="n"/>
      <c r="D721" s="500" t="n"/>
    </row>
    <row r="722">
      <c r="B722" s="500" t="n"/>
      <c r="C722" s="500" t="n"/>
      <c r="D722" s="500" t="n"/>
    </row>
    <row r="723">
      <c r="B723" s="500" t="n"/>
      <c r="C723" s="500" t="n"/>
      <c r="D723" s="500" t="n"/>
    </row>
    <row r="724">
      <c r="B724" s="500" t="n"/>
      <c r="C724" s="500" t="n"/>
      <c r="D724" s="500" t="n"/>
    </row>
    <row r="725">
      <c r="B725" s="500" t="n"/>
      <c r="C725" s="500" t="n"/>
      <c r="D725" s="500" t="n"/>
    </row>
    <row r="726">
      <c r="B726" s="500" t="n"/>
      <c r="C726" s="500" t="n"/>
      <c r="D726" s="500" t="n"/>
    </row>
    <row r="727">
      <c r="B727" s="500" t="n"/>
      <c r="C727" s="500" t="n"/>
      <c r="D727" s="500" t="n"/>
    </row>
    <row r="728">
      <c r="B728" s="500" t="n"/>
      <c r="C728" s="500" t="n"/>
      <c r="D728" s="500" t="n"/>
    </row>
    <row r="729">
      <c r="B729" s="500" t="n"/>
      <c r="C729" s="500" t="n"/>
      <c r="D729" s="500" t="n"/>
    </row>
    <row r="730">
      <c r="B730" s="500" t="n"/>
      <c r="C730" s="500" t="n"/>
      <c r="D730" s="500" t="n"/>
    </row>
    <row r="731">
      <c r="B731" s="500" t="n"/>
      <c r="C731" s="500" t="n"/>
      <c r="D731" s="500" t="n"/>
    </row>
    <row r="732">
      <c r="B732" s="500" t="n"/>
      <c r="C732" s="500" t="n"/>
      <c r="D732" s="500" t="n"/>
    </row>
    <row r="733">
      <c r="B733" s="500" t="n"/>
      <c r="C733" s="500" t="n"/>
      <c r="D733" s="500" t="n"/>
    </row>
    <row r="734">
      <c r="B734" s="500" t="n"/>
      <c r="C734" s="500" t="n"/>
      <c r="D734" s="500" t="n"/>
    </row>
    <row r="735">
      <c r="B735" s="500" t="n"/>
      <c r="C735" s="500" t="n"/>
      <c r="D735" s="500" t="n"/>
    </row>
    <row r="736">
      <c r="B736" s="500" t="n"/>
      <c r="C736" s="500" t="n"/>
      <c r="D736" s="500" t="n"/>
    </row>
    <row r="737">
      <c r="B737" s="500" t="n"/>
      <c r="C737" s="500" t="n"/>
      <c r="D737" s="500" t="n"/>
    </row>
    <row r="738">
      <c r="B738" s="500" t="n"/>
      <c r="C738" s="500" t="n"/>
      <c r="D738" s="500" t="n"/>
    </row>
    <row r="739">
      <c r="B739" s="500" t="n"/>
      <c r="C739" s="500" t="n"/>
      <c r="D739" s="500" t="n"/>
    </row>
    <row r="740">
      <c r="B740" s="500" t="n"/>
      <c r="C740" s="500" t="n"/>
      <c r="D740" s="500" t="n"/>
    </row>
    <row r="741">
      <c r="B741" s="500" t="n"/>
      <c r="C741" s="500" t="n"/>
      <c r="D741" s="500" t="n"/>
    </row>
    <row r="742">
      <c r="B742" s="500" t="n"/>
      <c r="C742" s="500" t="n"/>
      <c r="D742" s="500" t="n"/>
    </row>
    <row r="743">
      <c r="B743" s="500" t="n"/>
      <c r="C743" s="500" t="n"/>
      <c r="D743" s="500" t="n"/>
    </row>
    <row r="744">
      <c r="B744" s="500" t="n"/>
      <c r="C744" s="500" t="n"/>
      <c r="D744" s="500" t="n"/>
    </row>
    <row r="745">
      <c r="B745" s="500" t="n"/>
      <c r="C745" s="500" t="n"/>
      <c r="D745" s="500" t="n"/>
    </row>
    <row r="746">
      <c r="B746" s="500" t="n"/>
      <c r="C746" s="500" t="n"/>
      <c r="D746" s="500" t="n"/>
    </row>
    <row r="747">
      <c r="B747" s="500" t="n"/>
      <c r="C747" s="500" t="n"/>
      <c r="D747" s="500" t="n"/>
    </row>
    <row r="748">
      <c r="B748" s="500" t="n"/>
      <c r="C748" s="500" t="n"/>
      <c r="D748" s="500" t="n"/>
    </row>
    <row r="749">
      <c r="B749" s="500" t="n"/>
      <c r="C749" s="500" t="n"/>
      <c r="D749" s="500" t="n"/>
    </row>
    <row r="750">
      <c r="B750" s="500" t="n"/>
      <c r="C750" s="500" t="n"/>
      <c r="D750" s="500" t="n"/>
    </row>
    <row r="751">
      <c r="B751" s="500" t="n"/>
      <c r="C751" s="500" t="n"/>
      <c r="D751" s="500" t="n"/>
    </row>
    <row r="752">
      <c r="B752" s="500" t="n"/>
      <c r="C752" s="500" t="n"/>
      <c r="D752" s="500" t="n"/>
    </row>
    <row r="753">
      <c r="B753" s="500" t="n"/>
      <c r="C753" s="500" t="n"/>
      <c r="D753" s="500" t="n"/>
    </row>
    <row r="754">
      <c r="B754" s="500" t="n"/>
      <c r="C754" s="500" t="n"/>
      <c r="D754" s="500" t="n"/>
    </row>
    <row r="755">
      <c r="B755" s="500" t="n"/>
      <c r="C755" s="500" t="n"/>
      <c r="D755" s="500" t="n"/>
    </row>
    <row r="756">
      <c r="B756" s="500" t="n"/>
      <c r="C756" s="500" t="n"/>
      <c r="D756" s="500" t="n"/>
    </row>
    <row r="757">
      <c r="B757" s="500" t="n"/>
      <c r="C757" s="500" t="n"/>
      <c r="D757" s="500" t="n"/>
    </row>
    <row r="758">
      <c r="B758" s="500" t="n"/>
      <c r="C758" s="500" t="n"/>
      <c r="D758" s="500" t="n"/>
    </row>
    <row r="759">
      <c r="B759" s="500" t="n"/>
      <c r="C759" s="500" t="n"/>
      <c r="D759" s="500" t="n"/>
    </row>
    <row r="760">
      <c r="B760" s="500" t="n"/>
      <c r="C760" s="500" t="n"/>
      <c r="D760" s="500" t="n"/>
    </row>
    <row r="761">
      <c r="B761" s="500" t="n"/>
      <c r="C761" s="500" t="n"/>
      <c r="D761" s="500" t="n"/>
    </row>
    <row r="762">
      <c r="B762" s="500" t="n"/>
      <c r="C762" s="500" t="n"/>
      <c r="D762" s="500" t="n"/>
    </row>
    <row r="763">
      <c r="B763" s="500" t="n"/>
      <c r="C763" s="500" t="n"/>
      <c r="D763" s="500" t="n"/>
    </row>
    <row r="764">
      <c r="B764" s="500" t="n"/>
      <c r="C764" s="500" t="n"/>
      <c r="D764" s="500" t="n"/>
    </row>
    <row r="765">
      <c r="B765" s="500" t="n"/>
      <c r="C765" s="500" t="n"/>
      <c r="D765" s="500" t="n"/>
    </row>
    <row r="766">
      <c r="B766" s="500" t="n"/>
      <c r="C766" s="500" t="n"/>
      <c r="D766" s="500" t="n"/>
    </row>
    <row r="767">
      <c r="B767" s="500" t="n"/>
      <c r="C767" s="500" t="n"/>
      <c r="D767" s="500" t="n"/>
    </row>
    <row r="768">
      <c r="B768" s="500" t="n"/>
      <c r="C768" s="500" t="n"/>
      <c r="D768" s="500" t="n"/>
    </row>
    <row r="769">
      <c r="B769" s="500" t="n"/>
      <c r="C769" s="500" t="n"/>
      <c r="D769" s="500" t="n"/>
    </row>
    <row r="770">
      <c r="B770" s="500" t="n"/>
      <c r="C770" s="500" t="n"/>
      <c r="D770" s="500" t="n"/>
    </row>
    <row r="771">
      <c r="B771" s="500" t="n"/>
      <c r="C771" s="500" t="n"/>
      <c r="D771" s="500" t="n"/>
    </row>
    <row r="772">
      <c r="B772" s="500" t="n"/>
      <c r="C772" s="500" t="n"/>
      <c r="D772" s="500" t="n"/>
    </row>
    <row r="773">
      <c r="B773" s="500" t="n"/>
      <c r="C773" s="500" t="n"/>
      <c r="D773" s="500" t="n"/>
    </row>
    <row r="774">
      <c r="B774" s="500" t="n"/>
      <c r="C774" s="500" t="n"/>
      <c r="D774" s="500" t="n"/>
    </row>
    <row r="775">
      <c r="B775" s="500" t="n"/>
      <c r="C775" s="500" t="n"/>
      <c r="D775" s="500" t="n"/>
    </row>
    <row r="776">
      <c r="B776" s="500" t="n"/>
      <c r="C776" s="500" t="n"/>
      <c r="D776" s="500" t="n"/>
    </row>
    <row r="777">
      <c r="B777" s="500" t="n"/>
      <c r="C777" s="500" t="n"/>
      <c r="D777" s="500" t="n"/>
    </row>
    <row r="778">
      <c r="B778" s="500" t="n"/>
      <c r="C778" s="500" t="n"/>
      <c r="D778" s="500" t="n"/>
    </row>
    <row r="779">
      <c r="B779" s="500" t="n"/>
      <c r="C779" s="500" t="n"/>
      <c r="D779" s="500" t="n"/>
    </row>
    <row r="780">
      <c r="B780" s="500" t="n"/>
      <c r="C780" s="500" t="n"/>
      <c r="D780" s="500" t="n"/>
    </row>
    <row r="781">
      <c r="B781" s="500" t="n"/>
      <c r="C781" s="500" t="n"/>
      <c r="D781" s="500" t="n"/>
    </row>
    <row r="782">
      <c r="B782" s="500" t="n"/>
      <c r="C782" s="500" t="n"/>
      <c r="D782" s="500" t="n"/>
    </row>
    <row r="783">
      <c r="B783" s="500" t="n"/>
      <c r="C783" s="500" t="n"/>
      <c r="D783" s="500" t="n"/>
    </row>
    <row r="784">
      <c r="B784" s="500" t="n"/>
      <c r="C784" s="500" t="n"/>
      <c r="D784" s="500" t="n"/>
    </row>
    <row r="785">
      <c r="B785" s="500" t="n"/>
      <c r="C785" s="500" t="n"/>
      <c r="D785" s="500" t="n"/>
    </row>
    <row r="786">
      <c r="B786" s="500" t="n"/>
      <c r="C786" s="500" t="n"/>
      <c r="D786" s="500" t="n"/>
    </row>
    <row r="787">
      <c r="B787" s="500" t="n"/>
      <c r="C787" s="500" t="n"/>
      <c r="D787" s="500" t="n"/>
    </row>
    <row r="788">
      <c r="B788" s="500" t="n"/>
      <c r="C788" s="500" t="n"/>
      <c r="D788" s="500" t="n"/>
    </row>
    <row r="789">
      <c r="B789" s="500" t="n"/>
      <c r="C789" s="500" t="n"/>
      <c r="D789" s="500" t="n"/>
    </row>
    <row r="790">
      <c r="B790" s="500" t="n"/>
      <c r="C790" s="500" t="n"/>
      <c r="D790" s="500" t="n"/>
    </row>
    <row r="791">
      <c r="B791" s="500" t="n"/>
      <c r="C791" s="500" t="n"/>
      <c r="D791" s="500" t="n"/>
    </row>
    <row r="792">
      <c r="B792" s="500" t="n"/>
      <c r="C792" s="500" t="n"/>
      <c r="D792" s="500" t="n"/>
    </row>
    <row r="793">
      <c r="B793" s="500" t="n"/>
      <c r="C793" s="500" t="n"/>
      <c r="D793" s="500" t="n"/>
    </row>
    <row r="794">
      <c r="B794" s="500" t="n"/>
      <c r="C794" s="500" t="n"/>
      <c r="D794" s="500" t="n"/>
    </row>
    <row r="795">
      <c r="B795" s="500" t="n"/>
      <c r="C795" s="500" t="n"/>
      <c r="D795" s="500" t="n"/>
    </row>
    <row r="796">
      <c r="B796" s="500" t="n"/>
      <c r="C796" s="500" t="n"/>
      <c r="D796" s="500" t="n"/>
    </row>
    <row r="797">
      <c r="B797" s="500" t="n"/>
      <c r="C797" s="500" t="n"/>
      <c r="D797" s="500" t="n"/>
    </row>
    <row r="798">
      <c r="B798" s="500" t="n"/>
      <c r="C798" s="500" t="n"/>
      <c r="D798" s="500" t="n"/>
    </row>
    <row r="799">
      <c r="B799" s="500" t="n"/>
      <c r="C799" s="500" t="n"/>
      <c r="D799" s="500" t="n"/>
    </row>
    <row r="800">
      <c r="B800" s="500" t="n"/>
      <c r="C800" s="500" t="n"/>
      <c r="D800" s="500" t="n"/>
    </row>
    <row r="801">
      <c r="B801" s="500" t="n"/>
      <c r="C801" s="500" t="n"/>
      <c r="D801" s="500" t="n"/>
    </row>
    <row r="802">
      <c r="B802" s="500" t="n"/>
      <c r="C802" s="500" t="n"/>
      <c r="D802" s="500" t="n"/>
    </row>
    <row r="803">
      <c r="B803" s="500" t="n"/>
      <c r="C803" s="500" t="n"/>
      <c r="D803" s="500" t="n"/>
    </row>
    <row r="804">
      <c r="B804" s="500" t="n"/>
      <c r="C804" s="500" t="n"/>
      <c r="D804" s="500" t="n"/>
    </row>
    <row r="805">
      <c r="B805" s="500" t="n"/>
      <c r="C805" s="500" t="n"/>
      <c r="D805" s="500" t="n"/>
    </row>
    <row r="806">
      <c r="B806" s="500" t="n"/>
      <c r="C806" s="500" t="n"/>
      <c r="D806" s="500" t="n"/>
    </row>
    <row r="807">
      <c r="B807" s="500" t="n"/>
      <c r="C807" s="500" t="n"/>
      <c r="D807" s="500" t="n"/>
    </row>
    <row r="808">
      <c r="B808" s="500" t="n"/>
      <c r="C808" s="500" t="n"/>
      <c r="D808" s="500" t="n"/>
    </row>
    <row r="809">
      <c r="B809" s="500" t="n"/>
      <c r="C809" s="500" t="n"/>
      <c r="D809" s="500" t="n"/>
    </row>
    <row r="810">
      <c r="B810" s="500" t="n"/>
      <c r="C810" s="500" t="n"/>
      <c r="D810" s="500" t="n"/>
    </row>
    <row r="811">
      <c r="B811" s="500" t="n"/>
      <c r="C811" s="500" t="n"/>
      <c r="D811" s="500" t="n"/>
    </row>
    <row r="812">
      <c r="B812" s="500" t="n"/>
      <c r="C812" s="500" t="n"/>
      <c r="D812" s="500" t="n"/>
    </row>
    <row r="813">
      <c r="B813" s="500" t="n"/>
      <c r="C813" s="500" t="n"/>
      <c r="D813" s="500" t="n"/>
    </row>
    <row r="814">
      <c r="B814" s="500" t="n"/>
      <c r="C814" s="500" t="n"/>
      <c r="D814" s="500" t="n"/>
    </row>
    <row r="815">
      <c r="B815" s="500" t="n"/>
      <c r="C815" s="500" t="n"/>
      <c r="D815" s="500" t="n"/>
    </row>
    <row r="816">
      <c r="B816" s="500" t="n"/>
      <c r="C816" s="500" t="n"/>
      <c r="D816" s="500" t="n"/>
    </row>
    <row r="817">
      <c r="B817" s="500" t="n"/>
      <c r="C817" s="500" t="n"/>
      <c r="D817" s="500" t="n"/>
    </row>
    <row r="818">
      <c r="B818" s="500" t="n"/>
      <c r="C818" s="500" t="n"/>
      <c r="D818" s="500" t="n"/>
    </row>
    <row r="819">
      <c r="B819" s="500" t="n"/>
      <c r="C819" s="500" t="n"/>
      <c r="D819" s="500" t="n"/>
    </row>
    <row r="820">
      <c r="B820" s="500" t="n"/>
      <c r="C820" s="500" t="n"/>
      <c r="D820" s="500" t="n"/>
    </row>
    <row r="821">
      <c r="B821" s="500" t="n"/>
      <c r="C821" s="500" t="n"/>
      <c r="D821" s="500" t="n"/>
    </row>
    <row r="822">
      <c r="B822" s="500" t="n"/>
      <c r="C822" s="500" t="n"/>
      <c r="D822" s="500" t="n"/>
    </row>
    <row r="823">
      <c r="B823" s="500" t="n"/>
      <c r="C823" s="500" t="n"/>
      <c r="D823" s="500" t="n"/>
    </row>
    <row r="824">
      <c r="B824" s="500" t="n"/>
      <c r="C824" s="500" t="n"/>
      <c r="D824" s="500" t="n"/>
    </row>
    <row r="825">
      <c r="B825" s="500" t="n"/>
      <c r="C825" s="500" t="n"/>
      <c r="D825" s="500" t="n"/>
    </row>
    <row r="826">
      <c r="B826" s="500" t="n"/>
      <c r="C826" s="500" t="n"/>
      <c r="D826" s="500" t="n"/>
    </row>
    <row r="827">
      <c r="B827" s="500" t="n"/>
      <c r="C827" s="500" t="n"/>
      <c r="D827" s="500" t="n"/>
    </row>
    <row r="828">
      <c r="B828" s="500" t="n"/>
      <c r="C828" s="500" t="n"/>
      <c r="D828" s="500" t="n"/>
    </row>
    <row r="829">
      <c r="B829" s="500" t="n"/>
      <c r="C829" s="500" t="n"/>
      <c r="D829" s="500" t="n"/>
    </row>
    <row r="830">
      <c r="B830" s="500" t="n"/>
      <c r="C830" s="500" t="n"/>
      <c r="D830" s="500" t="n"/>
    </row>
    <row r="831">
      <c r="B831" s="500" t="n"/>
      <c r="C831" s="500" t="n"/>
      <c r="D831" s="500" t="n"/>
    </row>
    <row r="832">
      <c r="B832" s="500" t="n"/>
      <c r="C832" s="500" t="n"/>
      <c r="D832" s="500" t="n"/>
    </row>
    <row r="833">
      <c r="B833" s="500" t="n"/>
      <c r="C833" s="500" t="n"/>
      <c r="D833" s="500" t="n"/>
    </row>
    <row r="834">
      <c r="B834" s="500" t="n"/>
      <c r="C834" s="500" t="n"/>
      <c r="D834" s="500" t="n"/>
    </row>
    <row r="835">
      <c r="B835" s="500" t="n"/>
      <c r="C835" s="500" t="n"/>
      <c r="D835" s="500" t="n"/>
    </row>
    <row r="836">
      <c r="B836" s="500" t="n"/>
      <c r="C836" s="500" t="n"/>
      <c r="D836" s="500" t="n"/>
    </row>
    <row r="837">
      <c r="B837" s="500" t="n"/>
      <c r="C837" s="500" t="n"/>
      <c r="D837" s="500" t="n"/>
    </row>
    <row r="838">
      <c r="B838" s="500" t="n"/>
      <c r="C838" s="500" t="n"/>
      <c r="D838" s="500" t="n"/>
    </row>
    <row r="839">
      <c r="B839" s="500" t="n"/>
      <c r="C839" s="500" t="n"/>
      <c r="D839" s="500" t="n"/>
    </row>
    <row r="840">
      <c r="B840" s="500" t="n"/>
      <c r="C840" s="500" t="n"/>
      <c r="D840" s="500" t="n"/>
    </row>
    <row r="841">
      <c r="B841" s="500" t="n"/>
      <c r="C841" s="500" t="n"/>
      <c r="D841" s="500" t="n"/>
    </row>
    <row r="842">
      <c r="B842" s="500" t="n"/>
      <c r="C842" s="500" t="n"/>
      <c r="D842" s="500" t="n"/>
    </row>
    <row r="843">
      <c r="B843" s="500" t="n"/>
      <c r="C843" s="500" t="n"/>
      <c r="D843" s="500" t="n"/>
    </row>
    <row r="844">
      <c r="B844" s="500" t="n"/>
      <c r="C844" s="500" t="n"/>
      <c r="D844" s="500" t="n"/>
    </row>
    <row r="845">
      <c r="B845" s="500" t="n"/>
      <c r="C845" s="500" t="n"/>
      <c r="D845" s="500" t="n"/>
    </row>
    <row r="846">
      <c r="B846" s="500" t="n"/>
      <c r="C846" s="500" t="n"/>
      <c r="D846" s="500" t="n"/>
    </row>
    <row r="847">
      <c r="B847" s="500" t="n"/>
      <c r="C847" s="500" t="n"/>
      <c r="D847" s="500" t="n"/>
    </row>
    <row r="848">
      <c r="B848" s="500" t="n"/>
      <c r="C848" s="500" t="n"/>
      <c r="D848" s="500" t="n"/>
    </row>
    <row r="849">
      <c r="B849" s="500" t="n"/>
      <c r="C849" s="500" t="n"/>
      <c r="D849" s="500" t="n"/>
    </row>
    <row r="850">
      <c r="B850" s="500" t="n"/>
      <c r="C850" s="500" t="n"/>
      <c r="D850" s="500" t="n"/>
    </row>
    <row r="851">
      <c r="B851" s="500" t="n"/>
      <c r="C851" s="500" t="n"/>
      <c r="D851" s="500" t="n"/>
    </row>
    <row r="852">
      <c r="B852" s="500" t="n"/>
      <c r="C852" s="500" t="n"/>
      <c r="D852" s="500" t="n"/>
    </row>
    <row r="853">
      <c r="B853" s="500" t="n"/>
      <c r="C853" s="500" t="n"/>
      <c r="D853" s="500" t="n"/>
    </row>
    <row r="854">
      <c r="B854" s="500" t="n"/>
      <c r="C854" s="500" t="n"/>
      <c r="D854" s="500" t="n"/>
    </row>
    <row r="855">
      <c r="B855" s="500" t="n"/>
      <c r="C855" s="500" t="n"/>
      <c r="D855" s="500" t="n"/>
    </row>
    <row r="856">
      <c r="B856" s="500" t="n"/>
      <c r="C856" s="500" t="n"/>
      <c r="D856" s="500" t="n"/>
    </row>
    <row r="857">
      <c r="B857" s="500" t="n"/>
      <c r="C857" s="500" t="n"/>
      <c r="D857" s="500" t="n"/>
    </row>
    <row r="858">
      <c r="B858" s="500" t="n"/>
      <c r="C858" s="500" t="n"/>
      <c r="D858" s="500" t="n"/>
    </row>
    <row r="859">
      <c r="B859" s="500" t="n"/>
      <c r="C859" s="500" t="n"/>
      <c r="D859" s="500" t="n"/>
    </row>
    <row r="860">
      <c r="B860" s="500" t="n"/>
      <c r="C860" s="500" t="n"/>
      <c r="D860" s="500" t="n"/>
    </row>
    <row r="861">
      <c r="B861" s="500" t="n"/>
      <c r="C861" s="500" t="n"/>
      <c r="D861" s="500" t="n"/>
    </row>
    <row r="862">
      <c r="B862" s="500" t="n"/>
      <c r="C862" s="500" t="n"/>
      <c r="D862" s="500" t="n"/>
    </row>
    <row r="863">
      <c r="B863" s="500" t="n"/>
      <c r="C863" s="500" t="n"/>
      <c r="D863" s="500" t="n"/>
    </row>
  </sheetData>
  <mergeCells count="14">
    <mergeCell ref="E4:AI4"/>
    <mergeCell ref="B201:C201"/>
    <mergeCell ref="A1:AJ1"/>
    <mergeCell ref="B96:AK96"/>
    <mergeCell ref="A4:A5"/>
    <mergeCell ref="A3:AJ3"/>
    <mergeCell ref="AI209:AJ209"/>
    <mergeCell ref="AE208:AJ208"/>
    <mergeCell ref="B193:C193"/>
    <mergeCell ref="A2:AJ2"/>
    <mergeCell ref="B203:C203"/>
    <mergeCell ref="B6:D6"/>
    <mergeCell ref="AC211:AJ211"/>
    <mergeCell ref="B192:C192"/>
  </mergeCells>
  <printOptions horizontalCentered="1"/>
  <pageMargins left="0.1181102362204725" right="0.1181102362204725" top="0.3543307086614174" bottom="0.3543307086614174" header="0.3149606299212598" footer="0.3149606299212598"/>
  <pageSetup orientation="landscape" paperSize="9" scale="8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14" customWidth="1" min="3" max="3"/>
    <col width="14" customWidth="1" min="4" max="4"/>
    <col width="12" customWidth="1" min="5" max="5"/>
    <col width="60" customWidth="1" min="6" max="6"/>
  </cols>
  <sheetData>
    <row r="1">
      <c r="A1" s="792" t="inlineStr">
        <is>
          <t>บันทึกการเปลี่ยนแปลง: ไฟล์ P4P (…70) + รายการที่เพิ่มจากฉบับล่าสุด (…20261019)</t>
        </is>
      </c>
    </row>
    <row r="2">
      <c r="A2" s="793" t="inlineStr">
        <is>
          <t>ไฟล์หลัก = P4P…70 / ฉบับล่าสุดที่นำมาเทียบมีชีตเดียว (แบบหัวหน้า) จึงแก้ไขเฉพาะชีต "หัวหน้า"  ชีตอื่นอีก 3 ชีตไม่ถูกแก้ไข</t>
        </is>
      </c>
    </row>
    <row r="4">
      <c r="A4" s="794" t="inlineStr">
        <is>
          <t>สัญลักษณ์ในชีต "หัวหน้า"</t>
        </is>
      </c>
    </row>
    <row r="5">
      <c r="A5" s="795" t="inlineStr">
        <is>
          <t>ตัวอักษรสีแดง</t>
        </is>
      </c>
      <c r="B5" s="796" t="inlineStr">
        <is>
          <t>แถวที่เพิ่มเข้ามาจากฉบับล่าสุด (ไม่มีในไฟล์ …70)</t>
        </is>
      </c>
    </row>
    <row r="6">
      <c r="A6" s="797" t="inlineStr">
        <is>
          <t>◆ (พื้นเหลือง)</t>
        </is>
      </c>
      <c r="B6" s="796" t="inlineStr">
        <is>
          <t>แถวที่มีใน …70 แต่ไม่มีในฉบับล่าสุด</t>
        </is>
      </c>
    </row>
    <row r="7">
      <c r="A7" s="798" t="inlineStr">
        <is>
          <t>△ (พื้นฟ้า)</t>
        </is>
      </c>
      <c r="B7" s="796" t="inlineStr">
        <is>
          <t>แถวที่มีรายการลักษณะเดียวกันในฉบับล่าสุด แต่โครงสร้างหรือแต้มต่างกัน (ควรตรวจสอบ) ไม่ได้แก้ค่าใด ๆ</t>
        </is>
      </c>
    </row>
    <row r="9">
      <c r="A9" s="794" t="inlineStr">
        <is>
          <t>1) แถวที่เพิ่ม (สีแดง) 31 แถว</t>
        </is>
      </c>
    </row>
    <row r="10">
      <c r="A10" s="799" t="inlineStr">
        <is>
          <t>แถวในไฟล์นี้</t>
        </is>
      </c>
      <c r="B10" s="799" t="inlineStr">
        <is>
          <t>รายการ</t>
        </is>
      </c>
      <c r="C10" s="799" t="inlineStr">
        <is>
          <t>หน่วย</t>
        </is>
      </c>
      <c r="D10" s="799" t="inlineStr">
        <is>
          <t>เวลา (นาที)</t>
        </is>
      </c>
      <c r="E10" s="799" t="inlineStr">
        <is>
          <t>แต้ม</t>
        </is>
      </c>
      <c r="F10" s="799" t="inlineStr">
        <is>
          <t>หมายเหตุ</t>
        </is>
      </c>
    </row>
    <row r="11">
      <c r="A11" s="796" t="n">
        <v>18</v>
      </c>
      <c r="B11" s="796" t="inlineStr">
        <is>
          <t>9. ประชุมคณะกรรมการตามคำสั่งต่างๆ ภายนอกโรงพยาบาล</t>
        </is>
      </c>
      <c r="C11" s="796" t="inlineStr">
        <is>
          <t>วัน</t>
        </is>
      </c>
      <c r="D11" s="796" t="inlineStr">
        <is>
          <t>เหมา</t>
        </is>
      </c>
      <c r="E11" s="796" t="n">
        <v>30</v>
      </c>
      <c r="F11" s="796" t="inlineStr">
        <is>
          <t>ในฉบับล่าสุดเป็นข้อ 4 แต่ในไฟล์นี้เรียงต่อท้ายข้อ 8 จึงเปลี่ยนเลขเป็นข้อ 9</t>
        </is>
      </c>
    </row>
    <row r="12">
      <c r="A12" s="796" t="n">
        <v>141</v>
      </c>
      <c r="B12" s="796" t="inlineStr">
        <is>
          <t>บริการ</t>
        </is>
      </c>
      <c r="C12" s="796" t="n"/>
      <c r="D12" s="796" t="n"/>
      <c r="E12" s="796" t="n"/>
      <c r="F12" s="796" t="inlineStr">
        <is>
          <t>หัวข้อหมวด (ในฉบับล่าสุดสะกดว่า "บริการ")</t>
        </is>
      </c>
    </row>
    <row r="13">
      <c r="A13" s="796" t="n">
        <v>142</v>
      </c>
      <c r="B13" s="796" t="inlineStr">
        <is>
          <t>งานธุรการ</t>
        </is>
      </c>
      <c r="C13" s="796" t="n"/>
      <c r="D13" s="796" t="n"/>
      <c r="E13" s="796" t="n"/>
      <c r="F13" s="796" t="inlineStr">
        <is>
          <t>หัวข้อหมวดย่อย</t>
        </is>
      </c>
    </row>
    <row r="14">
      <c r="A14" s="796" t="n">
        <v>143</v>
      </c>
      <c r="B14" s="796" t="inlineStr">
        <is>
          <t>1. ลงทะเบียนประชุม ตามที่ได้รับมอบหมาย</t>
        </is>
      </c>
      <c r="C14" s="796" t="inlineStr">
        <is>
          <t>ครั้ง</t>
        </is>
      </c>
      <c r="D14" s="796" t="n">
        <v>30</v>
      </c>
      <c r="E14" s="796" t="n">
        <v>4.29</v>
      </c>
      <c r="F14" s="796" t="inlineStr"/>
    </row>
    <row r="15">
      <c r="A15" s="796" t="n">
        <v>144</v>
      </c>
      <c r="B15" s="796" t="inlineStr">
        <is>
          <t>2. การรับหนังสือ</t>
        </is>
      </c>
      <c r="C15" s="796" t="n"/>
      <c r="D15" s="796" t="n"/>
      <c r="E15" s="796" t="n"/>
      <c r="F15" s="796" t="inlineStr"/>
    </row>
    <row r="16">
      <c r="A16" s="796" t="n">
        <v>145</v>
      </c>
      <c r="B16" s="796" t="inlineStr">
        <is>
          <t>2.1 รับหนังสือภายในหน่วยงาน</t>
        </is>
      </c>
      <c r="C16" s="796" t="inlineStr">
        <is>
          <t>เรื่อง</t>
        </is>
      </c>
      <c r="D16" s="796" t="n">
        <v>3</v>
      </c>
      <c r="E16" s="796" t="n">
        <v>0.43</v>
      </c>
      <c r="F16" s="796" t="inlineStr"/>
    </row>
    <row r="17">
      <c r="A17" s="796" t="n">
        <v>146</v>
      </c>
      <c r="B17" s="796" t="inlineStr">
        <is>
          <t>2.2 คัดแยกหนังสือ</t>
        </is>
      </c>
      <c r="C17" s="796" t="inlineStr">
        <is>
          <t>ฉบับ</t>
        </is>
      </c>
      <c r="D17" s="796" t="n">
        <v>3</v>
      </c>
      <c r="E17" s="796" t="n">
        <v>0.43</v>
      </c>
      <c r="F17" s="796" t="inlineStr"/>
    </row>
    <row r="18">
      <c r="A18" s="796" t="n">
        <v>147</v>
      </c>
      <c r="B18" s="796" t="inlineStr">
        <is>
          <t>2.3 จัดแฟ้มเสนอ</t>
        </is>
      </c>
      <c r="C18" s="796" t="inlineStr">
        <is>
          <t>ฉบับ</t>
        </is>
      </c>
      <c r="D18" s="796" t="n">
        <v>3</v>
      </c>
      <c r="E18" s="796" t="n">
        <v>0.43</v>
      </c>
      <c r="F18" s="796" t="inlineStr"/>
    </row>
    <row r="19">
      <c r="A19" s="796" t="n">
        <v>148</v>
      </c>
      <c r="B19" s="796" t="inlineStr">
        <is>
          <t>2.4 เกษียนหนังสือ/เวียนหนังสือ</t>
        </is>
      </c>
      <c r="C19" s="796" t="inlineStr">
        <is>
          <t>เรื่อง</t>
        </is>
      </c>
      <c r="D19" s="796" t="n">
        <v>3</v>
      </c>
      <c r="E19" s="796" t="n">
        <v>0.43</v>
      </c>
      <c r="F19" s="796" t="inlineStr"/>
    </row>
    <row r="20">
      <c r="A20" s="796" t="n">
        <v>149</v>
      </c>
      <c r="B20" s="796" t="inlineStr">
        <is>
          <t>2.5 แจกจ่ายหนังสือ</t>
        </is>
      </c>
      <c r="C20" s="796" t="inlineStr">
        <is>
          <t>ฉบับ</t>
        </is>
      </c>
      <c r="D20" s="796" t="n">
        <v>3</v>
      </c>
      <c r="E20" s="796" t="n">
        <v>0.43</v>
      </c>
      <c r="F20" s="796" t="inlineStr"/>
    </row>
    <row r="21">
      <c r="A21" s="796" t="n">
        <v>150</v>
      </c>
      <c r="B21" s="796" t="inlineStr">
        <is>
          <t>2.6 การจัดการใบลาต่าง ๆ (จนสิ้นสุดกระบวนการ)</t>
        </is>
      </c>
      <c r="C21" s="796" t="inlineStr">
        <is>
          <t>ฉบับ</t>
        </is>
      </c>
      <c r="D21" s="796" t="n">
        <v>3</v>
      </c>
      <c r="E21" s="796" t="n">
        <v>0.43</v>
      </c>
      <c r="F21" s="796" t="inlineStr"/>
    </row>
    <row r="22">
      <c r="A22" s="796" t="n">
        <v>151</v>
      </c>
      <c r="B22" s="796" t="inlineStr">
        <is>
          <t>3. การส่งหนังสือ</t>
        </is>
      </c>
      <c r="C22" s="796" t="n"/>
      <c r="D22" s="796" t="n"/>
      <c r="E22" s="796" t="n"/>
      <c r="F22" s="796" t="inlineStr"/>
    </row>
    <row r="23">
      <c r="A23" s="796" t="n">
        <v>152</v>
      </c>
      <c r="B23" s="796" t="inlineStr">
        <is>
          <t>3.1 การขอออกเลขส่งหนังสือ</t>
        </is>
      </c>
      <c r="C23" s="796" t="inlineStr">
        <is>
          <t>ฉบับ</t>
        </is>
      </c>
      <c r="D23" s="796" t="n">
        <v>5</v>
      </c>
      <c r="E23" s="796" t="n">
        <v>0.71</v>
      </c>
      <c r="F23" s="796" t="inlineStr"/>
    </row>
    <row r="24">
      <c r="A24" s="796" t="n">
        <v>153</v>
      </c>
      <c r="B24" s="796" t="inlineStr">
        <is>
          <t>3.2 การส่งหนังสือระหว่างหน่วยงานภายใน รพ.ฯ</t>
        </is>
      </c>
      <c r="C24" s="796" t="inlineStr">
        <is>
          <t>เรื่อง</t>
        </is>
      </c>
      <c r="D24" s="796" t="n">
        <v>10</v>
      </c>
      <c r="E24" s="796" t="n">
        <v>1.43</v>
      </c>
      <c r="F24" s="796" t="inlineStr"/>
    </row>
    <row r="25">
      <c r="A25" s="796" t="n">
        <v>154</v>
      </c>
      <c r="B25" s="796" t="inlineStr">
        <is>
          <t>3.3 การส่งหนังสือระหว่างหน่วยงานภายนอก รพ.ฯ</t>
        </is>
      </c>
      <c r="C25" s="796" t="inlineStr">
        <is>
          <t>เรื่อง</t>
        </is>
      </c>
      <c r="D25" s="796" t="n">
        <v>20</v>
      </c>
      <c r="E25" s="796" t="n">
        <v>2.86</v>
      </c>
      <c r="F25" s="796" t="inlineStr"/>
    </row>
    <row r="26">
      <c r="A26" s="796" t="n">
        <v>155</v>
      </c>
      <c r="B26" s="796" t="inlineStr">
        <is>
          <t>4. การพิมพ์หนังสือ</t>
        </is>
      </c>
      <c r="C26" s="796" t="n"/>
      <c r="D26" s="796" t="n"/>
      <c r="E26" s="796" t="n"/>
      <c r="F26" s="796" t="inlineStr"/>
    </row>
    <row r="27">
      <c r="A27" s="796" t="n">
        <v>156</v>
      </c>
      <c r="B27" s="796" t="inlineStr">
        <is>
          <t>4.1 หนังสือภายใน</t>
        </is>
      </c>
      <c r="C27" s="796" t="inlineStr">
        <is>
          <t>เรื่อง</t>
        </is>
      </c>
      <c r="D27" s="796" t="n">
        <v>20</v>
      </c>
      <c r="E27" s="796" t="n">
        <v>2.86</v>
      </c>
      <c r="F27" s="796" t="inlineStr"/>
    </row>
    <row r="28">
      <c r="A28" s="796" t="n">
        <v>157</v>
      </c>
      <c r="B28" s="796" t="inlineStr">
        <is>
          <t>4.2 หนังสือภายนอก</t>
        </is>
      </c>
      <c r="C28" s="796" t="inlineStr">
        <is>
          <t>เรื่อง</t>
        </is>
      </c>
      <c r="D28" s="796" t="n">
        <v>25</v>
      </c>
      <c r="E28" s="796" t="n">
        <v>3.57</v>
      </c>
      <c r="F28" s="796" t="inlineStr"/>
    </row>
    <row r="29">
      <c r="A29" s="796" t="n">
        <v>158</v>
      </c>
      <c r="B29" s="796" t="inlineStr">
        <is>
          <t>4.3 ระเบียบ</t>
        </is>
      </c>
      <c r="C29" s="796" t="inlineStr">
        <is>
          <t>เรื่อง</t>
        </is>
      </c>
      <c r="D29" s="796" t="n">
        <v>30</v>
      </c>
      <c r="E29" s="796" t="n">
        <v>4.29</v>
      </c>
      <c r="F29" s="796" t="inlineStr"/>
    </row>
    <row r="30">
      <c r="A30" s="796" t="n">
        <v>159</v>
      </c>
      <c r="B30" s="796" t="inlineStr">
        <is>
          <t>4.4 คำสั่ง</t>
        </is>
      </c>
      <c r="C30" s="796" t="inlineStr">
        <is>
          <t>เรื่อง</t>
        </is>
      </c>
      <c r="D30" s="796" t="n">
        <v>15</v>
      </c>
      <c r="E30" s="796" t="n">
        <v>2.15</v>
      </c>
      <c r="F30" s="796" t="inlineStr"/>
    </row>
    <row r="31">
      <c r="A31" s="796" t="n">
        <v>160</v>
      </c>
      <c r="B31" s="796" t="inlineStr">
        <is>
          <t>4.5 พิมพ์หนังสือตามแบบฟอร์ม</t>
        </is>
      </c>
      <c r="C31" s="796" t="inlineStr">
        <is>
          <t>เรื่อง</t>
        </is>
      </c>
      <c r="D31" s="796" t="n">
        <v>10</v>
      </c>
      <c r="E31" s="796" t="n">
        <v>1.43</v>
      </c>
      <c r="F31" s="796" t="inlineStr"/>
    </row>
    <row r="32">
      <c r="A32" s="796" t="n">
        <v>161</v>
      </c>
      <c r="B32" s="796" t="inlineStr">
        <is>
          <t>4.6 หนังสือที่เจ้าหน้าที่จัดทำขึ้นฯ(หนังสือรับรอง บันทึก)</t>
        </is>
      </c>
      <c r="C32" s="796" t="inlineStr">
        <is>
          <t>เรื่อง</t>
        </is>
      </c>
      <c r="D32" s="796" t="n">
        <v>10</v>
      </c>
      <c r="E32" s="796" t="n">
        <v>1.43</v>
      </c>
      <c r="F32" s="796" t="inlineStr"/>
    </row>
    <row r="33">
      <c r="A33" s="796" t="n">
        <v>162</v>
      </c>
      <c r="B33" s="796" t="inlineStr">
        <is>
          <t>4.7 พิมพ์ชื่อ-ที่อยู่ ซอง การ์ดต่างๆ</t>
        </is>
      </c>
      <c r="C33" s="796" t="inlineStr">
        <is>
          <t>ฉบับ</t>
        </is>
      </c>
      <c r="D33" s="796" t="n">
        <v>3</v>
      </c>
      <c r="E33" s="796" t="n">
        <v>0.43</v>
      </c>
      <c r="F33" s="796" t="inlineStr"/>
    </row>
    <row r="34">
      <c r="A34" s="796" t="n">
        <v>163</v>
      </c>
      <c r="B34" s="796" t="inlineStr">
        <is>
          <t>4.8 ส่งไปรษณีย์ภายใน รพ.</t>
        </is>
      </c>
      <c r="C34" s="796" t="inlineStr">
        <is>
          <t>วัน</t>
        </is>
      </c>
      <c r="D34" s="796" t="n">
        <v>15</v>
      </c>
      <c r="E34" s="796" t="n">
        <v>2.15</v>
      </c>
      <c r="F34" s="796" t="inlineStr"/>
    </row>
    <row r="35">
      <c r="A35" s="796" t="n">
        <v>164</v>
      </c>
      <c r="B35" s="796" t="inlineStr">
        <is>
          <t>4.9 ส่งไปรษณีย์นอก รพ.</t>
        </is>
      </c>
      <c r="C35" s="796" t="inlineStr">
        <is>
          <t>วัน</t>
        </is>
      </c>
      <c r="D35" s="796" t="n">
        <v>180</v>
      </c>
      <c r="E35" s="796" t="n">
        <v>25.74</v>
      </c>
      <c r="F35" s="796" t="inlineStr"/>
    </row>
    <row r="36">
      <c r="A36" s="796" t="n">
        <v>165</v>
      </c>
      <c r="B36" s="796" t="inlineStr">
        <is>
          <t>5. การค้นหาหนังสือราชการ/เอกสารอื่น</t>
        </is>
      </c>
      <c r="C36" s="796" t="inlineStr">
        <is>
          <t>ฉบับ</t>
        </is>
      </c>
      <c r="D36" s="796" t="n">
        <v>5</v>
      </c>
      <c r="E36" s="796" t="n">
        <v>0.71</v>
      </c>
      <c r="F36" s="796" t="inlineStr"/>
    </row>
    <row r="37">
      <c r="A37" s="796" t="n">
        <v>166</v>
      </c>
      <c r="B37" s="796" t="inlineStr">
        <is>
          <t>6. การถ่ายเอกสาร/การสำเนาเอกสาร</t>
        </is>
      </c>
      <c r="C37" s="796" t="inlineStr">
        <is>
          <t>เรื่อง</t>
        </is>
      </c>
      <c r="D37" s="796" t="n">
        <v>5</v>
      </c>
      <c r="E37" s="796" t="n">
        <v>0.71</v>
      </c>
      <c r="F37" s="796" t="inlineStr"/>
    </row>
    <row r="38">
      <c r="A38" s="796" t="n">
        <v>167</v>
      </c>
      <c r="B38" s="796" t="inlineStr">
        <is>
          <t>7. การสแกนเอกสาร/ทำไฟล์แยกหมวดหมู่</t>
        </is>
      </c>
      <c r="C38" s="796" t="inlineStr">
        <is>
          <t>เรื่อง</t>
        </is>
      </c>
      <c r="D38" s="796" t="n">
        <v>5</v>
      </c>
      <c r="E38" s="796" t="n">
        <v>0.71</v>
      </c>
      <c r="F38" s="796" t="inlineStr"/>
    </row>
    <row r="39">
      <c r="A39" s="796" t="n">
        <v>168</v>
      </c>
      <c r="B39" s="796" t="inlineStr">
        <is>
          <t>8. การขออนุมัติใช้ห้องประชุม</t>
        </is>
      </c>
      <c r="C39" s="796" t="inlineStr">
        <is>
          <t>ครั้ง</t>
        </is>
      </c>
      <c r="D39" s="796" t="n">
        <v>5</v>
      </c>
      <c r="E39" s="796" t="n">
        <v>0.71</v>
      </c>
      <c r="F39" s="796" t="inlineStr"/>
    </row>
    <row r="40">
      <c r="A40" s="796" t="n">
        <v>169</v>
      </c>
      <c r="B40" s="796" t="inlineStr">
        <is>
          <t>9. การขอใช้รถยนต์ราชการ</t>
        </is>
      </c>
      <c r="C40" s="796" t="inlineStr">
        <is>
          <t>ครั้ง</t>
        </is>
      </c>
      <c r="D40" s="796" t="n">
        <v>5</v>
      </c>
      <c r="E40" s="796" t="n">
        <v>0.71</v>
      </c>
      <c r="F40" s="796" t="inlineStr"/>
    </row>
    <row r="41">
      <c r="A41" s="796" t="n">
        <v>170</v>
      </c>
      <c r="B41" s="796" t="inlineStr">
        <is>
          <t>10. การจัดทำรายงานการประชุม(ไม่เกิน 5 วัน/รายงาน)</t>
        </is>
      </c>
      <c r="C41" s="796" t="inlineStr">
        <is>
          <t>เรื่อง</t>
        </is>
      </c>
      <c r="D41" s="796" t="n">
        <v>60</v>
      </c>
      <c r="E41" s="796" t="n">
        <v>8.58</v>
      </c>
      <c r="F41" s="796" t="inlineStr"/>
    </row>
    <row r="43">
      <c r="A43" s="794" t="inlineStr">
        <is>
          <t>2) ◆ มีใน …70 แต่ไม่มีในฉบับล่าสุด 11 แถว</t>
        </is>
      </c>
    </row>
    <row r="44">
      <c r="A44" s="799" t="inlineStr">
        <is>
          <t>แถวในไฟล์นี้</t>
        </is>
      </c>
      <c r="B44" s="799" t="inlineStr">
        <is>
          <t>รายการ</t>
        </is>
      </c>
      <c r="C44" s="799" t="inlineStr">
        <is>
          <t>หน่วย</t>
        </is>
      </c>
      <c r="D44" s="799" t="inlineStr">
        <is>
          <t>เวลา (นาที)</t>
        </is>
      </c>
      <c r="E44" s="799" t="inlineStr">
        <is>
          <t>แต้ม</t>
        </is>
      </c>
      <c r="F44" s="799" t="inlineStr">
        <is>
          <t>หมายเหตุ</t>
        </is>
      </c>
    </row>
    <row r="45">
      <c r="A45" s="796" t="n">
        <v>33</v>
      </c>
      <c r="B45" s="796" t="inlineStr">
        <is>
          <t>3. ภารกิจสำคัญของ รพ./ตอบสนองนโยบาย ทร.</t>
        </is>
      </c>
      <c r="C45" s="796" t="n"/>
      <c r="D45" s="796" t="n"/>
      <c r="E45" s="796" t="n"/>
      <c r="F45" s="796" t="inlineStr"/>
    </row>
    <row r="46">
      <c r="A46" s="796" t="n">
        <v>34</v>
      </c>
      <c r="B46" s="796" t="inlineStr">
        <is>
          <t xml:space="preserve">   -  เข้าร่วมการฝึกซ้อมอัคคีภัย, อุบัติภัยหมู่ ฯลฯ ระดับ รพ.</t>
        </is>
      </c>
      <c r="C46" s="796" t="inlineStr">
        <is>
          <t>วัน</t>
        </is>
      </c>
      <c r="D46" s="796" t="inlineStr">
        <is>
          <t>เหมา</t>
        </is>
      </c>
      <c r="E46" s="796" t="n">
        <v>60</v>
      </c>
      <c r="F46" s="796" t="inlineStr"/>
    </row>
    <row r="47">
      <c r="A47" s="796" t="n">
        <v>35</v>
      </c>
      <c r="B47" s="796" t="inlineStr">
        <is>
          <t xml:space="preserve">   -  เข้าร่วมการฝึกซ้อมอัคคีภัย, อุบัติภัยหมู่ ฯลฯ ระดับหน่วยงาน</t>
        </is>
      </c>
      <c r="C47" s="796" t="inlineStr">
        <is>
          <t>วัน</t>
        </is>
      </c>
      <c r="D47" s="796" t="inlineStr">
        <is>
          <t>เหมา</t>
        </is>
      </c>
      <c r="E47" s="796" t="n">
        <v>30</v>
      </c>
      <c r="F47" s="796" t="inlineStr"/>
    </row>
    <row r="48">
      <c r="A48" s="796" t="n">
        <v>36</v>
      </c>
      <c r="B48" s="796" t="inlineStr">
        <is>
          <t xml:space="preserve">   -  เข้าร่วมการทดสอบสมรรถภาพทางกายกำลังพล</t>
        </is>
      </c>
      <c r="C48" s="796" t="inlineStr">
        <is>
          <t>วัน</t>
        </is>
      </c>
      <c r="D48" s="796" t="inlineStr">
        <is>
          <t>เหมา</t>
        </is>
      </c>
      <c r="E48" s="796" t="n">
        <v>30</v>
      </c>
      <c r="F48" s="796" t="inlineStr"/>
    </row>
    <row r="49">
      <c r="A49" s="796" t="n">
        <v>37</v>
      </c>
      <c r="B49" s="796" t="inlineStr">
        <is>
          <t xml:space="preserve">   -  คณะกรรมการการทดสอบสมรรถภาพทางกายกำลังพล</t>
        </is>
      </c>
      <c r="C49" s="796" t="inlineStr">
        <is>
          <t>วัน</t>
        </is>
      </c>
      <c r="D49" s="796" t="inlineStr">
        <is>
          <t>เหมา</t>
        </is>
      </c>
      <c r="E49" s="796" t="n">
        <v>60</v>
      </c>
      <c r="F49" s="796" t="inlineStr"/>
    </row>
    <row r="50">
      <c r="A50" s="796" t="n">
        <v>42</v>
      </c>
      <c r="B50" s="796" t="inlineStr">
        <is>
          <t>4. แนะนำผู้รับบริการทำแบบประเมินความพึงพอใจรายวัน</t>
        </is>
      </c>
      <c r="C50" s="796" t="inlineStr">
        <is>
          <t>ครั้ง</t>
        </is>
      </c>
      <c r="D50" s="796" t="n">
        <v>2</v>
      </c>
      <c r="E50" s="796" t="n">
        <v>0.29</v>
      </c>
      <c r="F50" s="796" t="inlineStr"/>
    </row>
    <row r="51">
      <c r="A51" s="796" t="n">
        <v>89</v>
      </c>
      <c r="B51" s="796" t="inlineStr">
        <is>
          <t>3. สรุปผลการดำเนินโครงการ</t>
        </is>
      </c>
      <c r="C51" s="796" t="n"/>
      <c r="D51" s="796" t="n"/>
      <c r="E51" s="796" t="n"/>
      <c r="F51" s="796" t="inlineStr"/>
    </row>
    <row r="52">
      <c r="A52" s="796" t="n">
        <v>90</v>
      </c>
      <c r="B52" s="796" t="inlineStr">
        <is>
          <t>- สรุปผลการดำเนินโครงการ (กรุณาระบุหมายเหตุโครงการ ให้คะแนน 1 โครงการ : 1 ครั้ง)</t>
        </is>
      </c>
      <c r="C52" s="796" t="inlineStr">
        <is>
          <t>ครั้ง</t>
        </is>
      </c>
      <c r="D52" s="796" t="inlineStr">
        <is>
          <t>เหมา</t>
        </is>
      </c>
      <c r="E52" s="796" t="n">
        <v>60.06</v>
      </c>
      <c r="F52" s="796" t="inlineStr"/>
    </row>
    <row r="53">
      <c r="A53" s="796" t="n">
        <v>117</v>
      </c>
      <c r="B53" s="796" t="inlineStr">
        <is>
          <t>9. Admin ระบบ smart conference</t>
        </is>
      </c>
      <c r="C53" s="796" t="inlineStr">
        <is>
          <t>เดือน</t>
        </is>
      </c>
      <c r="D53" s="796" t="inlineStr">
        <is>
          <t>เหมา</t>
        </is>
      </c>
      <c r="E53" s="796" t="n">
        <v>20</v>
      </c>
      <c r="F53" s="796" t="inlineStr"/>
    </row>
    <row r="54">
      <c r="A54" s="796" t="n">
        <v>118</v>
      </c>
      <c r="B54" s="796" t="inlineStr">
        <is>
          <t>10. Admin ระบบ P4P</t>
        </is>
      </c>
      <c r="C54" s="796" t="inlineStr">
        <is>
          <t>เดือน</t>
        </is>
      </c>
      <c r="D54" s="796" t="inlineStr">
        <is>
          <t>เหมา</t>
        </is>
      </c>
      <c r="E54" s="796" t="n">
        <v>20</v>
      </c>
      <c r="F54" s="796" t="inlineStr"/>
    </row>
    <row r="55">
      <c r="A55" s="796" t="n">
        <v>119</v>
      </c>
      <c r="B55" s="796" t="inlineStr">
        <is>
          <t>11. การตรวจสอบ ลงนามหนังสือทั่วไป / รายงานสถิติ</t>
        </is>
      </c>
      <c r="C55" s="796" t="inlineStr">
        <is>
          <t>ฉบับ</t>
        </is>
      </c>
      <c r="D55" s="796" t="n">
        <v>10</v>
      </c>
      <c r="E55" s="796" t="n">
        <v>1.43</v>
      </c>
      <c r="F55" s="796" t="inlineStr"/>
    </row>
    <row r="57">
      <c r="A57" s="794" t="inlineStr">
        <is>
          <t>3) △ มีรายการใกล้เคียงในฉบับล่าสุด แต่โครงสร้าง/แต้มต่างกัน</t>
        </is>
      </c>
    </row>
    <row r="58">
      <c r="A58" s="799" t="inlineStr">
        <is>
          <t>แถวในไฟล์นี้</t>
        </is>
      </c>
      <c r="B58" s="799" t="inlineStr">
        <is>
          <t>รายการ (ไฟล์นี้)</t>
        </is>
      </c>
      <c r="C58" s="799" t="inlineStr">
        <is>
          <t>แต้มในไฟล์นี้</t>
        </is>
      </c>
      <c r="D58" s="799" t="inlineStr"/>
      <c r="E58" s="799" t="inlineStr"/>
      <c r="F58" s="799" t="inlineStr">
        <is>
          <t>ฉบับล่าสุดเป็นอย่างไร</t>
        </is>
      </c>
    </row>
    <row r="59">
      <c r="A59" s="796" t="n">
        <v>19</v>
      </c>
      <c r="B59" s="796" t="inlineStr">
        <is>
          <t>การจัดทำรายงานการประชุม</t>
        </is>
      </c>
      <c r="C59" s="796" t="n"/>
      <c r="D59" s="796" t="inlineStr"/>
      <c r="E59" s="796" t="inlineStr"/>
      <c r="F59" s="796" t="inlineStr">
        <is>
          <t>ย้ายไปเป็นข้อเดียวในงานธุรการ "การจัดทำรายงานการประชุม (ไม่เกิน 5 วัน/รายงาน)" 60 นาที = 8.58 แต้ม (แถวสีแดงด้านบน)</t>
        </is>
      </c>
    </row>
    <row r="60">
      <c r="A60" s="796" t="n">
        <v>20</v>
      </c>
      <c r="B60" s="796" t="inlineStr">
        <is>
          <t>1. การประชุมระดับ รพ.ฯ</t>
        </is>
      </c>
      <c r="C60" s="796" t="n">
        <v>60</v>
      </c>
      <c r="D60" s="796" t="inlineStr"/>
      <c r="E60" s="796" t="inlineStr"/>
      <c r="F60" s="796" t="inlineStr">
        <is>
          <t>เช่นเดียวกับแถวข้างบน</t>
        </is>
      </c>
    </row>
    <row r="61">
      <c r="A61" s="796" t="n">
        <v>21</v>
      </c>
      <c r="B61" s="796" t="inlineStr">
        <is>
          <t>2. การประชุมระดับกลุ่มงาน/หน่วยงาน</t>
        </is>
      </c>
      <c r="C61" s="796" t="n">
        <v>45</v>
      </c>
      <c r="D61" s="796" t="inlineStr"/>
      <c r="E61" s="796" t="inlineStr"/>
      <c r="F61" s="796" t="inlineStr">
        <is>
          <t>เช่นเดียวกับแถวข้างบน</t>
        </is>
      </c>
    </row>
    <row r="62">
      <c r="A62" s="796" t="n">
        <v>22</v>
      </c>
      <c r="B62" s="796" t="inlineStr">
        <is>
          <t>3. การประชุมย่อยในหน่วยงาน</t>
        </is>
      </c>
      <c r="C62" s="796" t="n">
        <v>10</v>
      </c>
      <c r="D62" s="796" t="inlineStr"/>
      <c r="E62" s="796" t="inlineStr"/>
      <c r="F62" s="796" t="inlineStr">
        <is>
          <t>เช่นเดียวกับแถวข้างบน</t>
        </is>
      </c>
    </row>
    <row r="63">
      <c r="A63" s="796" t="n">
        <v>26</v>
      </c>
      <c r="B63" s="796" t="inlineStr">
        <is>
          <t xml:space="preserve">   -  หัวหน้าผู้รับผิดชอบราชการ</t>
        </is>
      </c>
      <c r="C63" s="796" t="n">
        <v>60</v>
      </c>
      <c r="D63" s="796" t="inlineStr"/>
      <c r="E63" s="796" t="inlineStr"/>
      <c r="F63" s="796" t="inlineStr">
        <is>
          <t>หมวด "ภายใน รพ." มีแถวเดียว 30 แต้ม/วัน ไม่แยกบทบาท</t>
        </is>
      </c>
    </row>
    <row r="64">
      <c r="A64" s="796" t="n">
        <v>27</v>
      </c>
      <c r="B64" s="796" t="inlineStr">
        <is>
          <t xml:space="preserve">   -  ผู้ดำเนินกิจกรรม, นักกีฬา</t>
        </is>
      </c>
      <c r="C64" s="796" t="n">
        <v>60</v>
      </c>
      <c r="D64" s="796" t="inlineStr"/>
      <c r="E64" s="796" t="inlineStr"/>
      <c r="F64" s="796" t="inlineStr">
        <is>
          <t>เช่นเดียวกับแถวข้างบน</t>
        </is>
      </c>
    </row>
    <row r="65">
      <c r="A65" s="796" t="n">
        <v>28</v>
      </c>
      <c r="B65" s="796" t="inlineStr">
        <is>
          <t xml:space="preserve">   -  ผู้ร่วมงาน</t>
        </is>
      </c>
      <c r="C65" s="796" t="n">
        <v>30</v>
      </c>
      <c r="D65" s="796" t="inlineStr"/>
      <c r="E65" s="796" t="inlineStr"/>
      <c r="F65" s="796" t="inlineStr">
        <is>
          <t>เช่นเดียวกับแถวข้างบน</t>
        </is>
      </c>
    </row>
    <row r="66">
      <c r="A66" s="796" t="n">
        <v>88</v>
      </c>
      <c r="B66" s="796" t="inlineStr">
        <is>
          <t>- Member (กรุณาระบุหมายเหตุโครงการ สามารถเก็บคะแนนได้ตามจำนวนวันที่ปฏิบัติจริง)</t>
        </is>
      </c>
      <c r="C66" s="796" t="n">
        <v>30.03</v>
      </c>
      <c r="D66" s="796" t="inlineStr"/>
      <c r="E66" s="796" t="inlineStr"/>
      <c r="F66" s="796" t="inlineStr">
        <is>
          <t>Member = 12.87 แต้ม (ไฟล์นี้ 30.03 แต้ม)</t>
        </is>
      </c>
    </row>
    <row r="68">
      <c r="A68" s="794" t="inlineStr">
        <is>
          <t>4) รายการที่เนื้อหาเหมือนกันแต่ถ้อยคำต่างกัน (ไม่ได้แก้ไข)</t>
        </is>
      </c>
    </row>
    <row r="69">
      <c r="A69" s="799" t="inlineStr">
        <is>
          <t>แถวในไฟล์นี้</t>
        </is>
      </c>
      <c r="B69" s="799" t="inlineStr">
        <is>
          <t>ถ้อยคำในไฟล์นี้</t>
        </is>
      </c>
      <c r="C69" s="799" t="inlineStr"/>
      <c r="D69" s="799" t="inlineStr"/>
      <c r="E69" s="799" t="inlineStr"/>
      <c r="F69" s="799" t="inlineStr">
        <is>
          <t>ถ้อยคำในฉบับล่าสุด</t>
        </is>
      </c>
    </row>
    <row r="70">
      <c r="A70" s="796" t="n">
        <v>55</v>
      </c>
      <c r="B70" s="796" t="inlineStr">
        <is>
          <t>2.1 การเบิกค่าตอบแทนเวรนอกเวลา (แพทย์/ทันตแพทย์, พยาบาล, เจ้าหน้าที่อื่น…) 60 แต้ม</t>
        </is>
      </c>
      <c r="C70" s="796" t="inlineStr"/>
      <c r="D70" s="796" t="inlineStr"/>
      <c r="E70" s="796" t="inlineStr"/>
      <c r="F70" s="796" t="inlineStr">
        <is>
          <t>2.1 หัวหน้าเบิกค่าตอบแทนเจ้าหน้าที่ 60 แต้ม</t>
        </is>
      </c>
    </row>
    <row r="71">
      <c r="A71" s="796" t="n">
        <v>60</v>
      </c>
      <c r="B71" s="796" t="inlineStr">
        <is>
          <t>4. ตรวจสอบข้อมูลการสแกนเข้าออกของเจ้าหน้าที่ประจำเดือน 8.58</t>
        </is>
      </c>
      <c r="C71" s="796" t="inlineStr"/>
      <c r="D71" s="796" t="inlineStr"/>
      <c r="E71" s="796" t="inlineStr"/>
      <c r="F71" s="796" t="inlineStr">
        <is>
          <t>4. ตรวจสอบการสแกนเข้าออกของเจ้าหน้าที่และส่งรายงานกำลังพล 8.58</t>
        </is>
      </c>
    </row>
    <row r="72">
      <c r="A72" s="796" t="n">
        <v>85</v>
      </c>
      <c r="B72" s="796" t="inlineStr">
        <is>
          <t>โครงการผ่านอนุมัติดำเนินการ 60.06 (มีหมายเหตุกำกับ)</t>
        </is>
      </c>
      <c r="C72" s="796" t="inlineStr"/>
      <c r="D72" s="796" t="inlineStr"/>
      <c r="E72" s="796" t="inlineStr"/>
      <c r="F72" s="796" t="inlineStr">
        <is>
          <t>โครงการผ่านและอนุมัติดำเนินการ 60.06</t>
        </is>
      </c>
    </row>
    <row r="73">
      <c r="A73" s="796" t="n">
        <v>27</v>
      </c>
      <c r="B73" s="796" t="inlineStr">
        <is>
          <t>ผู้ดำเนินกิจกรรม, นักกีฬา 60 (ภายใน/นอก รพ.)</t>
        </is>
      </c>
      <c r="C73" s="796" t="inlineStr"/>
      <c r="D73" s="796" t="inlineStr"/>
      <c r="E73" s="796" t="inlineStr"/>
      <c r="F73" s="796" t="inlineStr">
        <is>
          <t>ร่วมงาน (นักกีฬา) 60 (นอก รพ.)</t>
        </is>
      </c>
    </row>
    <row r="74">
      <c r="A74" s="796" t="n">
        <v>122</v>
      </c>
      <c r="B74" s="796" t="inlineStr">
        <is>
          <t>2. การจัดทำคู่มือ แผ่นพับ</t>
        </is>
      </c>
      <c r="C74" s="796" t="inlineStr"/>
      <c r="D74" s="796" t="inlineStr"/>
      <c r="E74" s="796" t="inlineStr"/>
      <c r="F74" s="796" t="inlineStr">
        <is>
          <t>2. การจัดทำคู่มือ แผ่นพับ การปฏิบัติตัวผู้ป่วย</t>
        </is>
      </c>
    </row>
    <row r="75">
      <c r="A75" s="796" t="n">
        <v>123</v>
      </c>
      <c r="B75" s="796" t="inlineStr">
        <is>
          <t>3. การทำวิจัย</t>
        </is>
      </c>
      <c r="C75" s="796" t="inlineStr"/>
      <c r="D75" s="796" t="inlineStr"/>
      <c r="E75" s="796" t="inlineStr"/>
      <c r="F75" s="796" t="inlineStr">
        <is>
          <t>3. การทำวิจัย ที่ปรึกษาวิจัย ผู้เชี่ยวชาญวิจัย</t>
        </is>
      </c>
    </row>
    <row r="76">
      <c r="A76" s="796" t="n">
        <v>128</v>
      </c>
      <c r="B76" s="796" t="inlineStr">
        <is>
          <t>3.5 ตีพิมพ์ 500</t>
        </is>
      </c>
      <c r="C76" s="796" t="inlineStr"/>
      <c r="D76" s="796" t="inlineStr"/>
      <c r="E76" s="796" t="inlineStr"/>
      <c r="F76" s="796" t="inlineStr">
        <is>
          <t>3.5 ตีพิมพ์ บทความ หนังสือ ส่งประกวด นำเสนอในที่ประชุม 500</t>
        </is>
      </c>
    </row>
    <row r="77">
      <c r="A77" s="796" t="n">
        <v>129</v>
      </c>
      <c r="B77" s="796" t="inlineStr">
        <is>
          <t>4. การทำเอกสารคุณภาพ/ CQI/ นวัตกรรม</t>
        </is>
      </c>
      <c r="C77" s="796" t="inlineStr"/>
      <c r="D77" s="796" t="inlineStr"/>
      <c r="E77" s="796" t="inlineStr"/>
      <c r="F77" s="796" t="inlineStr">
        <is>
          <t>4. การทำเอกสารคุณภาพ/ CQI</t>
        </is>
      </c>
    </row>
    <row r="78">
      <c r="A78" s="796" t="n">
        <v>132</v>
      </c>
      <c r="B78" s="796" t="inlineStr">
        <is>
          <t>7. ให้คำแนะนำนิสิตแพทย์</t>
        </is>
      </c>
      <c r="C78" s="796" t="inlineStr"/>
      <c r="D78" s="796" t="inlineStr"/>
      <c r="E78" s="796" t="inlineStr"/>
      <c r="F78" s="796" t="inlineStr">
        <is>
          <t>7. ให้คำแนะนำนิสิตแพทย์ นักศึกษาปริญญาโท เอก</t>
        </is>
      </c>
    </row>
    <row r="79">
      <c r="A79" s="796" t="n">
        <v>116</v>
      </c>
      <c r="B79" s="796" t="inlineStr">
        <is>
          <t>8. Admin ระบบ SPPH personnel</t>
        </is>
      </c>
      <c r="C79" s="796" t="inlineStr"/>
      <c r="D79" s="796" t="inlineStr"/>
      <c r="E79" s="796" t="inlineStr"/>
      <c r="F79" s="796" t="inlineStr">
        <is>
          <t>8. Admin SPPH personnel</t>
        </is>
      </c>
    </row>
    <row r="80">
      <c r="A80" s="796" t="inlineStr">
        <is>
          <t>91–95</t>
        </is>
      </c>
      <c r="B80" s="796" t="inlineStr">
        <is>
          <t>ตราวจสอบจำนวน … ราย (5 แถว สะกด "ตรา")</t>
        </is>
      </c>
      <c r="C80" s="796" t="inlineStr"/>
      <c r="D80" s="796" t="inlineStr"/>
      <c r="E80" s="796" t="inlineStr"/>
      <c r="F80" s="796" t="inlineStr">
        <is>
          <t>ตรวจสอบจำนวน … ราย</t>
        </is>
      </c>
    </row>
    <row r="82">
      <c r="A82" s="794" t="inlineStr">
        <is>
          <t>5) หมายเหตุ</t>
        </is>
      </c>
    </row>
    <row r="83">
      <c r="A83" s="793" t="inlineStr">
        <is>
          <t>• ฉบับล่าสุดมีหัวกระดาษ "Update 1 พ.ค. 67" ส่วนไฟล์ …70 เป็น "Update ส.ค. 69" และฉบับล่าสุดมีชื่อ/หน่วยงานของผู้ปฏิบัติงานกรอกอยู่ จึงใช้ …70 เป็นหลักและเพิ่มเฉพาะรายการที่ไม่มี</t>
        </is>
      </c>
    </row>
    <row r="84">
      <c r="A84" s="793" t="inlineStr">
        <is>
          <t>• ไม่มีการแก้ไขข้อความ ตัวเลข หรือสูตรเดิมของ …70 (ยกเว้นเติมสัญลักษณ์ ◆ △ หน้าข้อความ และขยายช่วงสูตรรวมคะแนนใน "รวม" ให้ครอบคลุมแถวที่เพิ่ม)</t>
        </is>
      </c>
    </row>
    <row r="85">
      <c r="A85" s="793" t="inlineStr">
        <is>
          <t>• แถวที่เพิ่มใช้สูตรเดียวกับแถวเดิม: แต้ม = เวลา × 0.143, รวม = SUM(วันที่ 1–31), รวมแต้ม = รวม × แต้ม</t>
        </is>
      </c>
    </row>
    <row r="86">
      <c r="A86" s="793" t="inlineStr">
        <is>
          <t>• ไฟล์นี้ไม่มีค่าที่คำนวณไว้ล่วงหน้า Excel จะคำนวณให้เมื่อเปิดไฟล์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2026-10-07T12:30:19Z</dcterms:created>
  <dcterms:modified xmlns:dcterms="http://purl.org/dc/terms/" xmlns:xsi="http://www.w3.org/2001/XMLSchema-instance" xsi:type="dcterms:W3CDTF">2026-10-26T06:50:42Z</dcterms:modified>
  <cp:lastModifiedBy>Microsoft Office User</cp:lastModifiedBy>
</cp:coreProperties>
</file>