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" sheetId="1" state="visible" r:id="rId1"/>
    <sheet xmlns:r="http://schemas.openxmlformats.org/officeDocument/2006/relationships" name="ตั้งค่า" sheetId="2" state="visible" r:id="rId2"/>
    <sheet xmlns:r="http://schemas.openxmlformats.org/officeDocument/2006/relationships" name="สรุปตามสาข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sz val="16"/>
    </font>
    <font>
      <name val="TH Sarabun New"/>
      <sz val="14"/>
    </font>
    <font>
      <name val="TH Sarabun New"/>
      <b val="1"/>
      <sz val="14"/>
    </font>
    <font>
      <name val="TH Sarabun New"/>
      <color rgb="000000FF"/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3" fillId="0" borderId="0" pivotButton="0" quotePrefix="0" xfId="0"/>
    <xf numFmtId="4" fontId="3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44" customWidth="1" min="3" max="3"/>
    <col width="24" customWidth="1" min="4" max="4"/>
    <col width="12" customWidth="1" min="5" max="5"/>
    <col width="18" customWidth="1" min="6" max="6"/>
    <col width="26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8" customWidth="1" min="13" max="13"/>
    <col width="16" customWidth="1" min="14" max="14"/>
    <col width="18" customWidth="1" min="15" max="15"/>
    <col width="28" customWidth="1" min="16" max="16"/>
  </cols>
  <sheetData>
    <row r="1">
      <c r="A1" s="1" t="inlineStr">
        <is>
          <t>รายการหนังสืออิเล็กทรอนิกส์และฐานข้อมูลทางการแพทย์ ปีงบประมาณ พ.ศ. 2570 (ภาคผนวก ก.)</t>
        </is>
      </c>
    </row>
    <row r="2">
      <c r="A2" s="2" t="inlineStr">
        <is>
          <t>วางรายการจากสาขาวิชาในช่องสีเหลือง ราคาอ้างอิงเป็นบาท (ถ้าเป็นราคาต่างประเทศ ให้กรอกสกุลเงินและราคา แล้วระบบแปลงตามอัตราในแผ่น 'ตั้งค่า')</t>
        </is>
      </c>
    </row>
    <row r="4" ht="50" customHeight="1">
      <c r="A4" s="3" t="inlineStr">
        <is>
          <t>ลำดับ</t>
        </is>
      </c>
      <c r="B4" s="3" t="inlineStr">
        <is>
          <t>สาขาวิชา</t>
        </is>
      </c>
      <c r="C4" s="3" t="inlineStr">
        <is>
          <t>ชื่อเรื่อง / ชื่อฐานข้อมูล</t>
        </is>
      </c>
      <c r="D4" s="3" t="inlineStr">
        <is>
          <t>ผู้แต่ง</t>
        </is>
      </c>
      <c r="E4" s="3" t="inlineStr">
        <is>
          <t>ฉบับ/ปี</t>
        </is>
      </c>
      <c r="F4" s="3" t="inlineStr">
        <is>
          <t>ISBN</t>
        </is>
      </c>
      <c r="G4" s="3" t="inlineStr">
        <is>
          <t>สำนักพิมพ์ / แพลตฟอร์ม</t>
        </is>
      </c>
      <c r="H4" s="3" t="inlineStr">
        <is>
          <t>ประเภท
(หนังสือ/ฐานข้อมูล)</t>
        </is>
      </c>
      <c r="I4" s="3" t="inlineStr">
        <is>
          <t>รูปแบบสิทธิ์
(ถาวร/รายปี)</t>
        </is>
      </c>
      <c r="J4" s="3" t="inlineStr">
        <is>
          <t>ผู้ใช้พร้อมกัน</t>
        </is>
      </c>
      <c r="K4" s="3" t="inlineStr">
        <is>
          <t>สกุลเงิน</t>
        </is>
      </c>
      <c r="L4" s="3" t="inlineStr">
        <is>
          <t>ราคาต่อหน่วย
(สกุลเงินต้นทาง)</t>
        </is>
      </c>
      <c r="M4" s="3" t="inlineStr">
        <is>
          <t>จำนวน</t>
        </is>
      </c>
      <c r="N4" s="3" t="inlineStr">
        <is>
          <t>ราคาเป็นบาท
(ต่อหน่วย)</t>
        </is>
      </c>
      <c r="O4" s="3" t="inlineStr">
        <is>
          <t>รวมเป็นเงิน (บาท)</t>
        </is>
      </c>
      <c r="P4" s="3" t="inlineStr">
        <is>
          <t>ผู้เสนอรายการ / หมายเหตุ</t>
        </is>
      </c>
    </row>
    <row r="5">
      <c r="A5" s="4">
        <f>IF(C5="","",ROW()-4)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inlineStr">
        <is>
          <t>THB</t>
        </is>
      </c>
      <c r="L5" s="6" t="n"/>
      <c r="M5" s="5" t="n">
        <v>1</v>
      </c>
      <c r="N5" s="7">
        <f>IF(L5="","",IF(K5="THB",L5,L5*IFERROR(VLOOKUP(K5,ตั้งค่า!$A$4:$B$10,2,FALSE),0)))</f>
        <v/>
      </c>
      <c r="O5" s="7">
        <f>IF(N5="","",N5*M5)</f>
        <v/>
      </c>
      <c r="P5" s="5" t="n"/>
    </row>
    <row r="6">
      <c r="A6" s="4">
        <f>IF(C6="","",ROW()-4)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inlineStr">
        <is>
          <t>THB</t>
        </is>
      </c>
      <c r="L6" s="6" t="n"/>
      <c r="M6" s="5" t="n">
        <v>1</v>
      </c>
      <c r="N6" s="7">
        <f>IF(L6="","",IF(K6="THB",L6,L6*IFERROR(VLOOKUP(K6,ตั้งค่า!$A$4:$B$10,2,FALSE),0)))</f>
        <v/>
      </c>
      <c r="O6" s="7">
        <f>IF(N6="","",N6*M6)</f>
        <v/>
      </c>
      <c r="P6" s="5" t="n"/>
    </row>
    <row r="7">
      <c r="A7" s="4">
        <f>IF(C7="","",ROW()-4)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inlineStr">
        <is>
          <t>THB</t>
        </is>
      </c>
      <c r="L7" s="6" t="n"/>
      <c r="M7" s="5" t="n">
        <v>1</v>
      </c>
      <c r="N7" s="7">
        <f>IF(L7="","",IF(K7="THB",L7,L7*IFERROR(VLOOKUP(K7,ตั้งค่า!$A$4:$B$10,2,FALSE),0)))</f>
        <v/>
      </c>
      <c r="O7" s="7">
        <f>IF(N7="","",N7*M7)</f>
        <v/>
      </c>
      <c r="P7" s="5" t="n"/>
    </row>
    <row r="8">
      <c r="A8" s="4">
        <f>IF(C8="","",ROW()-4)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inlineStr">
        <is>
          <t>THB</t>
        </is>
      </c>
      <c r="L8" s="6" t="n"/>
      <c r="M8" s="5" t="n">
        <v>1</v>
      </c>
      <c r="N8" s="7">
        <f>IF(L8="","",IF(K8="THB",L8,L8*IFERROR(VLOOKUP(K8,ตั้งค่า!$A$4:$B$10,2,FALSE),0)))</f>
        <v/>
      </c>
      <c r="O8" s="7">
        <f>IF(N8="","",N8*M8)</f>
        <v/>
      </c>
      <c r="P8" s="5" t="n"/>
    </row>
    <row r="9">
      <c r="A9" s="4">
        <f>IF(C9="","",ROW()-4)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inlineStr">
        <is>
          <t>THB</t>
        </is>
      </c>
      <c r="L9" s="6" t="n"/>
      <c r="M9" s="5" t="n">
        <v>1</v>
      </c>
      <c r="N9" s="7">
        <f>IF(L9="","",IF(K9="THB",L9,L9*IFERROR(VLOOKUP(K9,ตั้งค่า!$A$4:$B$10,2,FALSE),0)))</f>
        <v/>
      </c>
      <c r="O9" s="7">
        <f>IF(N9="","",N9*M9)</f>
        <v/>
      </c>
      <c r="P9" s="5" t="n"/>
    </row>
    <row r="10">
      <c r="A10" s="4">
        <f>IF(C10="","",ROW()-4)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inlineStr">
        <is>
          <t>THB</t>
        </is>
      </c>
      <c r="L10" s="6" t="n"/>
      <c r="M10" s="5" t="n">
        <v>1</v>
      </c>
      <c r="N10" s="7">
        <f>IF(L10="","",IF(K10="THB",L10,L10*IFERROR(VLOOKUP(K10,ตั้งค่า!$A$4:$B$10,2,FALSE),0)))</f>
        <v/>
      </c>
      <c r="O10" s="7">
        <f>IF(N10="","",N10*M10)</f>
        <v/>
      </c>
      <c r="P10" s="5" t="n"/>
    </row>
    <row r="11">
      <c r="A11" s="4">
        <f>IF(C11="","",ROW()-4)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inlineStr">
        <is>
          <t>THB</t>
        </is>
      </c>
      <c r="L11" s="6" t="n"/>
      <c r="M11" s="5" t="n">
        <v>1</v>
      </c>
      <c r="N11" s="7">
        <f>IF(L11="","",IF(K11="THB",L11,L11*IFERROR(VLOOKUP(K11,ตั้งค่า!$A$4:$B$10,2,FALSE),0)))</f>
        <v/>
      </c>
      <c r="O11" s="7">
        <f>IF(N11="","",N11*M11)</f>
        <v/>
      </c>
      <c r="P11" s="5" t="n"/>
    </row>
    <row r="12">
      <c r="A12" s="4">
        <f>IF(C12="","",ROW()-4)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inlineStr">
        <is>
          <t>THB</t>
        </is>
      </c>
      <c r="L12" s="6" t="n"/>
      <c r="M12" s="5" t="n">
        <v>1</v>
      </c>
      <c r="N12" s="7">
        <f>IF(L12="","",IF(K12="THB",L12,L12*IFERROR(VLOOKUP(K12,ตั้งค่า!$A$4:$B$10,2,FALSE),0)))</f>
        <v/>
      </c>
      <c r="O12" s="7">
        <f>IF(N12="","",N12*M12)</f>
        <v/>
      </c>
      <c r="P12" s="5" t="n"/>
    </row>
    <row r="13">
      <c r="A13" s="4">
        <f>IF(C13="","",ROW()-4)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inlineStr">
        <is>
          <t>THB</t>
        </is>
      </c>
      <c r="L13" s="6" t="n"/>
      <c r="M13" s="5" t="n">
        <v>1</v>
      </c>
      <c r="N13" s="7">
        <f>IF(L13="","",IF(K13="THB",L13,L13*IFERROR(VLOOKUP(K13,ตั้งค่า!$A$4:$B$10,2,FALSE),0)))</f>
        <v/>
      </c>
      <c r="O13" s="7">
        <f>IF(N13="","",N13*M13)</f>
        <v/>
      </c>
      <c r="P13" s="5" t="n"/>
    </row>
    <row r="14">
      <c r="A14" s="4">
        <f>IF(C14="","",ROW()-4)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inlineStr">
        <is>
          <t>THB</t>
        </is>
      </c>
      <c r="L14" s="6" t="n"/>
      <c r="M14" s="5" t="n">
        <v>1</v>
      </c>
      <c r="N14" s="7">
        <f>IF(L14="","",IF(K14="THB",L14,L14*IFERROR(VLOOKUP(K14,ตั้งค่า!$A$4:$B$10,2,FALSE),0)))</f>
        <v/>
      </c>
      <c r="O14" s="7">
        <f>IF(N14="","",N14*M14)</f>
        <v/>
      </c>
      <c r="P14" s="5" t="n"/>
    </row>
    <row r="15">
      <c r="A15" s="4">
        <f>IF(C15="","",ROW()-4)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inlineStr">
        <is>
          <t>THB</t>
        </is>
      </c>
      <c r="L15" s="6" t="n"/>
      <c r="M15" s="5" t="n">
        <v>1</v>
      </c>
      <c r="N15" s="7">
        <f>IF(L15="","",IF(K15="THB",L15,L15*IFERROR(VLOOKUP(K15,ตั้งค่า!$A$4:$B$10,2,FALSE),0)))</f>
        <v/>
      </c>
      <c r="O15" s="7">
        <f>IF(N15="","",N15*M15)</f>
        <v/>
      </c>
      <c r="P15" s="5" t="n"/>
    </row>
    <row r="16">
      <c r="A16" s="4">
        <f>IF(C16="","",ROW()-4)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inlineStr">
        <is>
          <t>THB</t>
        </is>
      </c>
      <c r="L16" s="6" t="n"/>
      <c r="M16" s="5" t="n">
        <v>1</v>
      </c>
      <c r="N16" s="7">
        <f>IF(L16="","",IF(K16="THB",L16,L16*IFERROR(VLOOKUP(K16,ตั้งค่า!$A$4:$B$10,2,FALSE),0)))</f>
        <v/>
      </c>
      <c r="O16" s="7">
        <f>IF(N16="","",N16*M16)</f>
        <v/>
      </c>
      <c r="P16" s="5" t="n"/>
    </row>
    <row r="17">
      <c r="A17" s="4">
        <f>IF(C17="","",ROW()-4)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inlineStr">
        <is>
          <t>THB</t>
        </is>
      </c>
      <c r="L17" s="6" t="n"/>
      <c r="M17" s="5" t="n">
        <v>1</v>
      </c>
      <c r="N17" s="7">
        <f>IF(L17="","",IF(K17="THB",L17,L17*IFERROR(VLOOKUP(K17,ตั้งค่า!$A$4:$B$10,2,FALSE),0)))</f>
        <v/>
      </c>
      <c r="O17" s="7">
        <f>IF(N17="","",N17*M17)</f>
        <v/>
      </c>
      <c r="P17" s="5" t="n"/>
    </row>
    <row r="18">
      <c r="A18" s="4">
        <f>IF(C18="","",ROW()-4)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inlineStr">
        <is>
          <t>THB</t>
        </is>
      </c>
      <c r="L18" s="6" t="n"/>
      <c r="M18" s="5" t="n">
        <v>1</v>
      </c>
      <c r="N18" s="7">
        <f>IF(L18="","",IF(K18="THB",L18,L18*IFERROR(VLOOKUP(K18,ตั้งค่า!$A$4:$B$10,2,FALSE),0)))</f>
        <v/>
      </c>
      <c r="O18" s="7">
        <f>IF(N18="","",N18*M18)</f>
        <v/>
      </c>
      <c r="P18" s="5" t="n"/>
    </row>
    <row r="19">
      <c r="A19" s="4">
        <f>IF(C19="","",ROW()-4)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inlineStr">
        <is>
          <t>THB</t>
        </is>
      </c>
      <c r="L19" s="6" t="n"/>
      <c r="M19" s="5" t="n">
        <v>1</v>
      </c>
      <c r="N19" s="7">
        <f>IF(L19="","",IF(K19="THB",L19,L19*IFERROR(VLOOKUP(K19,ตั้งค่า!$A$4:$B$10,2,FALSE),0)))</f>
        <v/>
      </c>
      <c r="O19" s="7">
        <f>IF(N19="","",N19*M19)</f>
        <v/>
      </c>
      <c r="P19" s="5" t="n"/>
    </row>
    <row r="20">
      <c r="A20" s="4">
        <f>IF(C20="","",ROW()-4)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inlineStr">
        <is>
          <t>THB</t>
        </is>
      </c>
      <c r="L20" s="6" t="n"/>
      <c r="M20" s="5" t="n">
        <v>1</v>
      </c>
      <c r="N20" s="7">
        <f>IF(L20="","",IF(K20="THB",L20,L20*IFERROR(VLOOKUP(K20,ตั้งค่า!$A$4:$B$10,2,FALSE),0)))</f>
        <v/>
      </c>
      <c r="O20" s="7">
        <f>IF(N20="","",N20*M20)</f>
        <v/>
      </c>
      <c r="P20" s="5" t="n"/>
    </row>
    <row r="21">
      <c r="A21" s="4">
        <f>IF(C21="","",ROW()-4)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inlineStr">
        <is>
          <t>THB</t>
        </is>
      </c>
      <c r="L21" s="6" t="n"/>
      <c r="M21" s="5" t="n">
        <v>1</v>
      </c>
      <c r="N21" s="7">
        <f>IF(L21="","",IF(K21="THB",L21,L21*IFERROR(VLOOKUP(K21,ตั้งค่า!$A$4:$B$10,2,FALSE),0)))</f>
        <v/>
      </c>
      <c r="O21" s="7">
        <f>IF(N21="","",N21*M21)</f>
        <v/>
      </c>
      <c r="P21" s="5" t="n"/>
    </row>
    <row r="22">
      <c r="A22" s="4">
        <f>IF(C22="","",ROW()-4)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inlineStr">
        <is>
          <t>THB</t>
        </is>
      </c>
      <c r="L22" s="6" t="n"/>
      <c r="M22" s="5" t="n">
        <v>1</v>
      </c>
      <c r="N22" s="7">
        <f>IF(L22="","",IF(K22="THB",L22,L22*IFERROR(VLOOKUP(K22,ตั้งค่า!$A$4:$B$10,2,FALSE),0)))</f>
        <v/>
      </c>
      <c r="O22" s="7">
        <f>IF(N22="","",N22*M22)</f>
        <v/>
      </c>
      <c r="P22" s="5" t="n"/>
    </row>
    <row r="23">
      <c r="A23" s="4">
        <f>IF(C23="","",ROW()-4)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inlineStr">
        <is>
          <t>THB</t>
        </is>
      </c>
      <c r="L23" s="6" t="n"/>
      <c r="M23" s="5" t="n">
        <v>1</v>
      </c>
      <c r="N23" s="7">
        <f>IF(L23="","",IF(K23="THB",L23,L23*IFERROR(VLOOKUP(K23,ตั้งค่า!$A$4:$B$10,2,FALSE),0)))</f>
        <v/>
      </c>
      <c r="O23" s="7">
        <f>IF(N23="","",N23*M23)</f>
        <v/>
      </c>
      <c r="P23" s="5" t="n"/>
    </row>
    <row r="24">
      <c r="A24" s="4">
        <f>IF(C24="","",ROW()-4)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inlineStr">
        <is>
          <t>THB</t>
        </is>
      </c>
      <c r="L24" s="6" t="n"/>
      <c r="M24" s="5" t="n">
        <v>1</v>
      </c>
      <c r="N24" s="7">
        <f>IF(L24="","",IF(K24="THB",L24,L24*IFERROR(VLOOKUP(K24,ตั้งค่า!$A$4:$B$10,2,FALSE),0)))</f>
        <v/>
      </c>
      <c r="O24" s="7">
        <f>IF(N24="","",N24*M24)</f>
        <v/>
      </c>
      <c r="P24" s="5" t="n"/>
    </row>
    <row r="25">
      <c r="A25" s="4">
        <f>IF(C25="","",ROW()-4)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inlineStr">
        <is>
          <t>THB</t>
        </is>
      </c>
      <c r="L25" s="6" t="n"/>
      <c r="M25" s="5" t="n">
        <v>1</v>
      </c>
      <c r="N25" s="7">
        <f>IF(L25="","",IF(K25="THB",L25,L25*IFERROR(VLOOKUP(K25,ตั้งค่า!$A$4:$B$10,2,FALSE),0)))</f>
        <v/>
      </c>
      <c r="O25" s="7">
        <f>IF(N25="","",N25*M25)</f>
        <v/>
      </c>
      <c r="P25" s="5" t="n"/>
    </row>
    <row r="26">
      <c r="A26" s="4">
        <f>IF(C26="","",ROW()-4)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inlineStr">
        <is>
          <t>THB</t>
        </is>
      </c>
      <c r="L26" s="6" t="n"/>
      <c r="M26" s="5" t="n">
        <v>1</v>
      </c>
      <c r="N26" s="7">
        <f>IF(L26="","",IF(K26="THB",L26,L26*IFERROR(VLOOKUP(K26,ตั้งค่า!$A$4:$B$10,2,FALSE),0)))</f>
        <v/>
      </c>
      <c r="O26" s="7">
        <f>IF(N26="","",N26*M26)</f>
        <v/>
      </c>
      <c r="P26" s="5" t="n"/>
    </row>
    <row r="27">
      <c r="A27" s="4">
        <f>IF(C27="","",ROW()-4)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inlineStr">
        <is>
          <t>THB</t>
        </is>
      </c>
      <c r="L27" s="6" t="n"/>
      <c r="M27" s="5" t="n">
        <v>1</v>
      </c>
      <c r="N27" s="7">
        <f>IF(L27="","",IF(K27="THB",L27,L27*IFERROR(VLOOKUP(K27,ตั้งค่า!$A$4:$B$10,2,FALSE),0)))</f>
        <v/>
      </c>
      <c r="O27" s="7">
        <f>IF(N27="","",N27*M27)</f>
        <v/>
      </c>
      <c r="P27" s="5" t="n"/>
    </row>
    <row r="28">
      <c r="A28" s="4">
        <f>IF(C28="","",ROW()-4)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inlineStr">
        <is>
          <t>THB</t>
        </is>
      </c>
      <c r="L28" s="6" t="n"/>
      <c r="M28" s="5" t="n">
        <v>1</v>
      </c>
      <c r="N28" s="7">
        <f>IF(L28="","",IF(K28="THB",L28,L28*IFERROR(VLOOKUP(K28,ตั้งค่า!$A$4:$B$10,2,FALSE),0)))</f>
        <v/>
      </c>
      <c r="O28" s="7">
        <f>IF(N28="","",N28*M28)</f>
        <v/>
      </c>
      <c r="P28" s="5" t="n"/>
    </row>
    <row r="29">
      <c r="A29" s="4">
        <f>IF(C29="","",ROW()-4)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inlineStr">
        <is>
          <t>THB</t>
        </is>
      </c>
      <c r="L29" s="6" t="n"/>
      <c r="M29" s="5" t="n">
        <v>1</v>
      </c>
      <c r="N29" s="7">
        <f>IF(L29="","",IF(K29="THB",L29,L29*IFERROR(VLOOKUP(K29,ตั้งค่า!$A$4:$B$10,2,FALSE),0)))</f>
        <v/>
      </c>
      <c r="O29" s="7">
        <f>IF(N29="","",N29*M29)</f>
        <v/>
      </c>
      <c r="P29" s="5" t="n"/>
    </row>
    <row r="30">
      <c r="A30" s="4">
        <f>IF(C30="","",ROW()-4)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inlineStr">
        <is>
          <t>THB</t>
        </is>
      </c>
      <c r="L30" s="6" t="n"/>
      <c r="M30" s="5" t="n">
        <v>1</v>
      </c>
      <c r="N30" s="7">
        <f>IF(L30="","",IF(K30="THB",L30,L30*IFERROR(VLOOKUP(K30,ตั้งค่า!$A$4:$B$10,2,FALSE),0)))</f>
        <v/>
      </c>
      <c r="O30" s="7">
        <f>IF(N30="","",N30*M30)</f>
        <v/>
      </c>
      <c r="P30" s="5" t="n"/>
    </row>
    <row r="31">
      <c r="A31" s="4">
        <f>IF(C31="","",ROW()-4)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inlineStr">
        <is>
          <t>THB</t>
        </is>
      </c>
      <c r="L31" s="6" t="n"/>
      <c r="M31" s="5" t="n">
        <v>1</v>
      </c>
      <c r="N31" s="7">
        <f>IF(L31="","",IF(K31="THB",L31,L31*IFERROR(VLOOKUP(K31,ตั้งค่า!$A$4:$B$10,2,FALSE),0)))</f>
        <v/>
      </c>
      <c r="O31" s="7">
        <f>IF(N31="","",N31*M31)</f>
        <v/>
      </c>
      <c r="P31" s="5" t="n"/>
    </row>
    <row r="32">
      <c r="A32" s="4">
        <f>IF(C32="","",ROW()-4)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inlineStr">
        <is>
          <t>THB</t>
        </is>
      </c>
      <c r="L32" s="6" t="n"/>
      <c r="M32" s="5" t="n">
        <v>1</v>
      </c>
      <c r="N32" s="7">
        <f>IF(L32="","",IF(K32="THB",L32,L32*IFERROR(VLOOKUP(K32,ตั้งค่า!$A$4:$B$10,2,FALSE),0)))</f>
        <v/>
      </c>
      <c r="O32" s="7">
        <f>IF(N32="","",N32*M32)</f>
        <v/>
      </c>
      <c r="P32" s="5" t="n"/>
    </row>
    <row r="33">
      <c r="A33" s="4">
        <f>IF(C33="","",ROW()-4)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inlineStr">
        <is>
          <t>THB</t>
        </is>
      </c>
      <c r="L33" s="6" t="n"/>
      <c r="M33" s="5" t="n">
        <v>1</v>
      </c>
      <c r="N33" s="7">
        <f>IF(L33="","",IF(K33="THB",L33,L33*IFERROR(VLOOKUP(K33,ตั้งค่า!$A$4:$B$10,2,FALSE),0)))</f>
        <v/>
      </c>
      <c r="O33" s="7">
        <f>IF(N33="","",N33*M33)</f>
        <v/>
      </c>
      <c r="P33" s="5" t="n"/>
    </row>
    <row r="34">
      <c r="A34" s="4">
        <f>IF(C34="","",ROW()-4)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inlineStr">
        <is>
          <t>THB</t>
        </is>
      </c>
      <c r="L34" s="6" t="n"/>
      <c r="M34" s="5" t="n">
        <v>1</v>
      </c>
      <c r="N34" s="7">
        <f>IF(L34="","",IF(K34="THB",L34,L34*IFERROR(VLOOKUP(K34,ตั้งค่า!$A$4:$B$10,2,FALSE),0)))</f>
        <v/>
      </c>
      <c r="O34" s="7">
        <f>IF(N34="","",N34*M34)</f>
        <v/>
      </c>
      <c r="P34" s="5" t="n"/>
    </row>
    <row r="35">
      <c r="A35" s="4">
        <f>IF(C35="","",ROW()-4)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inlineStr">
        <is>
          <t>THB</t>
        </is>
      </c>
      <c r="L35" s="6" t="n"/>
      <c r="M35" s="5" t="n">
        <v>1</v>
      </c>
      <c r="N35" s="7">
        <f>IF(L35="","",IF(K35="THB",L35,L35*IFERROR(VLOOKUP(K35,ตั้งค่า!$A$4:$B$10,2,FALSE),0)))</f>
        <v/>
      </c>
      <c r="O35" s="7">
        <f>IF(N35="","",N35*M35)</f>
        <v/>
      </c>
      <c r="P35" s="5" t="n"/>
    </row>
    <row r="36">
      <c r="A36" s="4">
        <f>IF(C36="","",ROW()-4)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inlineStr">
        <is>
          <t>THB</t>
        </is>
      </c>
      <c r="L36" s="6" t="n"/>
      <c r="M36" s="5" t="n">
        <v>1</v>
      </c>
      <c r="N36" s="7">
        <f>IF(L36="","",IF(K36="THB",L36,L36*IFERROR(VLOOKUP(K36,ตั้งค่า!$A$4:$B$10,2,FALSE),0)))</f>
        <v/>
      </c>
      <c r="O36" s="7">
        <f>IF(N36="","",N36*M36)</f>
        <v/>
      </c>
      <c r="P36" s="5" t="n"/>
    </row>
    <row r="37">
      <c r="A37" s="4">
        <f>IF(C37="","",ROW()-4)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inlineStr">
        <is>
          <t>THB</t>
        </is>
      </c>
      <c r="L37" s="6" t="n"/>
      <c r="M37" s="5" t="n">
        <v>1</v>
      </c>
      <c r="N37" s="7">
        <f>IF(L37="","",IF(K37="THB",L37,L37*IFERROR(VLOOKUP(K37,ตั้งค่า!$A$4:$B$10,2,FALSE),0)))</f>
        <v/>
      </c>
      <c r="O37" s="7">
        <f>IF(N37="","",N37*M37)</f>
        <v/>
      </c>
      <c r="P37" s="5" t="n"/>
    </row>
    <row r="38">
      <c r="A38" s="4">
        <f>IF(C38="","",ROW()-4)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inlineStr">
        <is>
          <t>THB</t>
        </is>
      </c>
      <c r="L38" s="6" t="n"/>
      <c r="M38" s="5" t="n">
        <v>1</v>
      </c>
      <c r="N38" s="7">
        <f>IF(L38="","",IF(K38="THB",L38,L38*IFERROR(VLOOKUP(K38,ตั้งค่า!$A$4:$B$10,2,FALSE),0)))</f>
        <v/>
      </c>
      <c r="O38" s="7">
        <f>IF(N38="","",N38*M38)</f>
        <v/>
      </c>
      <c r="P38" s="5" t="n"/>
    </row>
    <row r="39">
      <c r="A39" s="4">
        <f>IF(C39="","",ROW()-4)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inlineStr">
        <is>
          <t>THB</t>
        </is>
      </c>
      <c r="L39" s="6" t="n"/>
      <c r="M39" s="5" t="n">
        <v>1</v>
      </c>
      <c r="N39" s="7">
        <f>IF(L39="","",IF(K39="THB",L39,L39*IFERROR(VLOOKUP(K39,ตั้งค่า!$A$4:$B$10,2,FALSE),0)))</f>
        <v/>
      </c>
      <c r="O39" s="7">
        <f>IF(N39="","",N39*M39)</f>
        <v/>
      </c>
      <c r="P39" s="5" t="n"/>
    </row>
    <row r="40">
      <c r="A40" s="4">
        <f>IF(C40="","",ROW()-4)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inlineStr">
        <is>
          <t>THB</t>
        </is>
      </c>
      <c r="L40" s="6" t="n"/>
      <c r="M40" s="5" t="n">
        <v>1</v>
      </c>
      <c r="N40" s="7">
        <f>IF(L40="","",IF(K40="THB",L40,L40*IFERROR(VLOOKUP(K40,ตั้งค่า!$A$4:$B$10,2,FALSE),0)))</f>
        <v/>
      </c>
      <c r="O40" s="7">
        <f>IF(N40="","",N40*M40)</f>
        <v/>
      </c>
      <c r="P40" s="5" t="n"/>
    </row>
    <row r="41">
      <c r="A41" s="4">
        <f>IF(C41="","",ROW()-4)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inlineStr">
        <is>
          <t>THB</t>
        </is>
      </c>
      <c r="L41" s="6" t="n"/>
      <c r="M41" s="5" t="n">
        <v>1</v>
      </c>
      <c r="N41" s="7">
        <f>IF(L41="","",IF(K41="THB",L41,L41*IFERROR(VLOOKUP(K41,ตั้งค่า!$A$4:$B$10,2,FALSE),0)))</f>
        <v/>
      </c>
      <c r="O41" s="7">
        <f>IF(N41="","",N41*M41)</f>
        <v/>
      </c>
      <c r="P41" s="5" t="n"/>
    </row>
    <row r="42">
      <c r="A42" s="4">
        <f>IF(C42="","",ROW()-4)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inlineStr">
        <is>
          <t>THB</t>
        </is>
      </c>
      <c r="L42" s="6" t="n"/>
      <c r="M42" s="5" t="n">
        <v>1</v>
      </c>
      <c r="N42" s="7">
        <f>IF(L42="","",IF(K42="THB",L42,L42*IFERROR(VLOOKUP(K42,ตั้งค่า!$A$4:$B$10,2,FALSE),0)))</f>
        <v/>
      </c>
      <c r="O42" s="7">
        <f>IF(N42="","",N42*M42)</f>
        <v/>
      </c>
      <c r="P42" s="5" t="n"/>
    </row>
    <row r="43">
      <c r="A43" s="4">
        <f>IF(C43="","",ROW()-4)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inlineStr">
        <is>
          <t>THB</t>
        </is>
      </c>
      <c r="L43" s="6" t="n"/>
      <c r="M43" s="5" t="n">
        <v>1</v>
      </c>
      <c r="N43" s="7">
        <f>IF(L43="","",IF(K43="THB",L43,L43*IFERROR(VLOOKUP(K43,ตั้งค่า!$A$4:$B$10,2,FALSE),0)))</f>
        <v/>
      </c>
      <c r="O43" s="7">
        <f>IF(N43="","",N43*M43)</f>
        <v/>
      </c>
      <c r="P43" s="5" t="n"/>
    </row>
    <row r="44">
      <c r="A44" s="4">
        <f>IF(C44="","",ROW()-4)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inlineStr">
        <is>
          <t>THB</t>
        </is>
      </c>
      <c r="L44" s="6" t="n"/>
      <c r="M44" s="5" t="n">
        <v>1</v>
      </c>
      <c r="N44" s="7">
        <f>IF(L44="","",IF(K44="THB",L44,L44*IFERROR(VLOOKUP(K44,ตั้งค่า!$A$4:$B$10,2,FALSE),0)))</f>
        <v/>
      </c>
      <c r="O44" s="7">
        <f>IF(N44="","",N44*M44)</f>
        <v/>
      </c>
      <c r="P44" s="5" t="n"/>
    </row>
    <row r="45">
      <c r="A45" s="4">
        <f>IF(C45="","",ROW()-4)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inlineStr">
        <is>
          <t>THB</t>
        </is>
      </c>
      <c r="L45" s="6" t="n"/>
      <c r="M45" s="5" t="n">
        <v>1</v>
      </c>
      <c r="N45" s="7">
        <f>IF(L45="","",IF(K45="THB",L45,L45*IFERROR(VLOOKUP(K45,ตั้งค่า!$A$4:$B$10,2,FALSE),0)))</f>
        <v/>
      </c>
      <c r="O45" s="7">
        <f>IF(N45="","",N45*M45)</f>
        <v/>
      </c>
      <c r="P45" s="5" t="n"/>
    </row>
    <row r="46">
      <c r="A46" s="4">
        <f>IF(C46="","",ROW()-4)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inlineStr">
        <is>
          <t>THB</t>
        </is>
      </c>
      <c r="L46" s="6" t="n"/>
      <c r="M46" s="5" t="n">
        <v>1</v>
      </c>
      <c r="N46" s="7">
        <f>IF(L46="","",IF(K46="THB",L46,L46*IFERROR(VLOOKUP(K46,ตั้งค่า!$A$4:$B$10,2,FALSE),0)))</f>
        <v/>
      </c>
      <c r="O46" s="7">
        <f>IF(N46="","",N46*M46)</f>
        <v/>
      </c>
      <c r="P46" s="5" t="n"/>
    </row>
    <row r="47">
      <c r="A47" s="4">
        <f>IF(C47="","",ROW()-4)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inlineStr">
        <is>
          <t>THB</t>
        </is>
      </c>
      <c r="L47" s="6" t="n"/>
      <c r="M47" s="5" t="n">
        <v>1</v>
      </c>
      <c r="N47" s="7">
        <f>IF(L47="","",IF(K47="THB",L47,L47*IFERROR(VLOOKUP(K47,ตั้งค่า!$A$4:$B$10,2,FALSE),0)))</f>
        <v/>
      </c>
      <c r="O47" s="7">
        <f>IF(N47="","",N47*M47)</f>
        <v/>
      </c>
      <c r="P47" s="5" t="n"/>
    </row>
    <row r="48">
      <c r="A48" s="4">
        <f>IF(C48="","",ROW()-4)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inlineStr">
        <is>
          <t>THB</t>
        </is>
      </c>
      <c r="L48" s="6" t="n"/>
      <c r="M48" s="5" t="n">
        <v>1</v>
      </c>
      <c r="N48" s="7">
        <f>IF(L48="","",IF(K48="THB",L48,L48*IFERROR(VLOOKUP(K48,ตั้งค่า!$A$4:$B$10,2,FALSE),0)))</f>
        <v/>
      </c>
      <c r="O48" s="7">
        <f>IF(N48="","",N48*M48)</f>
        <v/>
      </c>
      <c r="P48" s="5" t="n"/>
    </row>
    <row r="49">
      <c r="A49" s="4">
        <f>IF(C49="","",ROW()-4)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inlineStr">
        <is>
          <t>THB</t>
        </is>
      </c>
      <c r="L49" s="6" t="n"/>
      <c r="M49" s="5" t="n">
        <v>1</v>
      </c>
      <c r="N49" s="7">
        <f>IF(L49="","",IF(K49="THB",L49,L49*IFERROR(VLOOKUP(K49,ตั้งค่า!$A$4:$B$10,2,FALSE),0)))</f>
        <v/>
      </c>
      <c r="O49" s="7">
        <f>IF(N49="","",N49*M49)</f>
        <v/>
      </c>
      <c r="P49" s="5" t="n"/>
    </row>
    <row r="50">
      <c r="A50" s="4">
        <f>IF(C50="","",ROW()-4)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inlineStr">
        <is>
          <t>THB</t>
        </is>
      </c>
      <c r="L50" s="6" t="n"/>
      <c r="M50" s="5" t="n">
        <v>1</v>
      </c>
      <c r="N50" s="7">
        <f>IF(L50="","",IF(K50="THB",L50,L50*IFERROR(VLOOKUP(K50,ตั้งค่า!$A$4:$B$10,2,FALSE),0)))</f>
        <v/>
      </c>
      <c r="O50" s="7">
        <f>IF(N50="","",N50*M50)</f>
        <v/>
      </c>
      <c r="P50" s="5" t="n"/>
    </row>
    <row r="51">
      <c r="A51" s="4">
        <f>IF(C51="","",ROW()-4)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inlineStr">
        <is>
          <t>THB</t>
        </is>
      </c>
      <c r="L51" s="6" t="n"/>
      <c r="M51" s="5" t="n">
        <v>1</v>
      </c>
      <c r="N51" s="7">
        <f>IF(L51="","",IF(K51="THB",L51,L51*IFERROR(VLOOKUP(K51,ตั้งค่า!$A$4:$B$10,2,FALSE),0)))</f>
        <v/>
      </c>
      <c r="O51" s="7">
        <f>IF(N51="","",N51*M51)</f>
        <v/>
      </c>
      <c r="P51" s="5" t="n"/>
    </row>
    <row r="52">
      <c r="A52" s="4">
        <f>IF(C52="","",ROW()-4)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inlineStr">
        <is>
          <t>THB</t>
        </is>
      </c>
      <c r="L52" s="6" t="n"/>
      <c r="M52" s="5" t="n">
        <v>1</v>
      </c>
      <c r="N52" s="7">
        <f>IF(L52="","",IF(K52="THB",L52,L52*IFERROR(VLOOKUP(K52,ตั้งค่า!$A$4:$B$10,2,FALSE),0)))</f>
        <v/>
      </c>
      <c r="O52" s="7">
        <f>IF(N52="","",N52*M52)</f>
        <v/>
      </c>
      <c r="P52" s="5" t="n"/>
    </row>
    <row r="53">
      <c r="A53" s="4">
        <f>IF(C53="","",ROW()-4)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inlineStr">
        <is>
          <t>THB</t>
        </is>
      </c>
      <c r="L53" s="6" t="n"/>
      <c r="M53" s="5" t="n">
        <v>1</v>
      </c>
      <c r="N53" s="7">
        <f>IF(L53="","",IF(K53="THB",L53,L53*IFERROR(VLOOKUP(K53,ตั้งค่า!$A$4:$B$10,2,FALSE),0)))</f>
        <v/>
      </c>
      <c r="O53" s="7">
        <f>IF(N53="","",N53*M53)</f>
        <v/>
      </c>
      <c r="P53" s="5" t="n"/>
    </row>
    <row r="54">
      <c r="A54" s="4">
        <f>IF(C54="","",ROW()-4)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inlineStr">
        <is>
          <t>THB</t>
        </is>
      </c>
      <c r="L54" s="6" t="n"/>
      <c r="M54" s="5" t="n">
        <v>1</v>
      </c>
      <c r="N54" s="7">
        <f>IF(L54="","",IF(K54="THB",L54,L54*IFERROR(VLOOKUP(K54,ตั้งค่า!$A$4:$B$10,2,FALSE),0)))</f>
        <v/>
      </c>
      <c r="O54" s="7">
        <f>IF(N54="","",N54*M54)</f>
        <v/>
      </c>
      <c r="P54" s="5" t="n"/>
    </row>
    <row r="55">
      <c r="A55" s="4">
        <f>IF(C55="","",ROW()-4)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inlineStr">
        <is>
          <t>THB</t>
        </is>
      </c>
      <c r="L55" s="6" t="n"/>
      <c r="M55" s="5" t="n">
        <v>1</v>
      </c>
      <c r="N55" s="7">
        <f>IF(L55="","",IF(K55="THB",L55,L55*IFERROR(VLOOKUP(K55,ตั้งค่า!$A$4:$B$10,2,FALSE),0)))</f>
        <v/>
      </c>
      <c r="O55" s="7">
        <f>IF(N55="","",N55*M55)</f>
        <v/>
      </c>
      <c r="P55" s="5" t="n"/>
    </row>
    <row r="56">
      <c r="A56" s="4">
        <f>IF(C56="","",ROW()-4)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inlineStr">
        <is>
          <t>THB</t>
        </is>
      </c>
      <c r="L56" s="6" t="n"/>
      <c r="M56" s="5" t="n">
        <v>1</v>
      </c>
      <c r="N56" s="7">
        <f>IF(L56="","",IF(K56="THB",L56,L56*IFERROR(VLOOKUP(K56,ตั้งค่า!$A$4:$B$10,2,FALSE),0)))</f>
        <v/>
      </c>
      <c r="O56" s="7">
        <f>IF(N56="","",N56*M56)</f>
        <v/>
      </c>
      <c r="P56" s="5" t="n"/>
    </row>
    <row r="57">
      <c r="A57" s="4">
        <f>IF(C57="","",ROW()-4)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inlineStr">
        <is>
          <t>THB</t>
        </is>
      </c>
      <c r="L57" s="6" t="n"/>
      <c r="M57" s="5" t="n">
        <v>1</v>
      </c>
      <c r="N57" s="7">
        <f>IF(L57="","",IF(K57="THB",L57,L57*IFERROR(VLOOKUP(K57,ตั้งค่า!$A$4:$B$10,2,FALSE),0)))</f>
        <v/>
      </c>
      <c r="O57" s="7">
        <f>IF(N57="","",N57*M57)</f>
        <v/>
      </c>
      <c r="P57" s="5" t="n"/>
    </row>
    <row r="58">
      <c r="A58" s="4">
        <f>IF(C58="","",ROW()-4)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inlineStr">
        <is>
          <t>THB</t>
        </is>
      </c>
      <c r="L58" s="6" t="n"/>
      <c r="M58" s="5" t="n">
        <v>1</v>
      </c>
      <c r="N58" s="7">
        <f>IF(L58="","",IF(K58="THB",L58,L58*IFERROR(VLOOKUP(K58,ตั้งค่า!$A$4:$B$10,2,FALSE),0)))</f>
        <v/>
      </c>
      <c r="O58" s="7">
        <f>IF(N58="","",N58*M58)</f>
        <v/>
      </c>
      <c r="P58" s="5" t="n"/>
    </row>
    <row r="59">
      <c r="A59" s="4">
        <f>IF(C59="","",ROW()-4)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inlineStr">
        <is>
          <t>THB</t>
        </is>
      </c>
      <c r="L59" s="6" t="n"/>
      <c r="M59" s="5" t="n">
        <v>1</v>
      </c>
      <c r="N59" s="7">
        <f>IF(L59="","",IF(K59="THB",L59,L59*IFERROR(VLOOKUP(K59,ตั้งค่า!$A$4:$B$10,2,FALSE),0)))</f>
        <v/>
      </c>
      <c r="O59" s="7">
        <f>IF(N59="","",N59*M59)</f>
        <v/>
      </c>
      <c r="P59" s="5" t="n"/>
    </row>
    <row r="60">
      <c r="A60" s="4">
        <f>IF(C60="","",ROW()-4)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inlineStr">
        <is>
          <t>THB</t>
        </is>
      </c>
      <c r="L60" s="6" t="n"/>
      <c r="M60" s="5" t="n">
        <v>1</v>
      </c>
      <c r="N60" s="7">
        <f>IF(L60="","",IF(K60="THB",L60,L60*IFERROR(VLOOKUP(K60,ตั้งค่า!$A$4:$B$10,2,FALSE),0)))</f>
        <v/>
      </c>
      <c r="O60" s="7">
        <f>IF(N60="","",N60*M60)</f>
        <v/>
      </c>
      <c r="P60" s="5" t="n"/>
    </row>
    <row r="61">
      <c r="A61" s="4">
        <f>IF(C61="","",ROW()-4)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inlineStr">
        <is>
          <t>THB</t>
        </is>
      </c>
      <c r="L61" s="6" t="n"/>
      <c r="M61" s="5" t="n">
        <v>1</v>
      </c>
      <c r="N61" s="7">
        <f>IF(L61="","",IF(K61="THB",L61,L61*IFERROR(VLOOKUP(K61,ตั้งค่า!$A$4:$B$10,2,FALSE),0)))</f>
        <v/>
      </c>
      <c r="O61" s="7">
        <f>IF(N61="","",N61*M61)</f>
        <v/>
      </c>
      <c r="P61" s="5" t="n"/>
    </row>
    <row r="62">
      <c r="A62" s="4">
        <f>IF(C62="","",ROW()-4)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inlineStr">
        <is>
          <t>THB</t>
        </is>
      </c>
      <c r="L62" s="6" t="n"/>
      <c r="M62" s="5" t="n">
        <v>1</v>
      </c>
      <c r="N62" s="7">
        <f>IF(L62="","",IF(K62="THB",L62,L62*IFERROR(VLOOKUP(K62,ตั้งค่า!$A$4:$B$10,2,FALSE),0)))</f>
        <v/>
      </c>
      <c r="O62" s="7">
        <f>IF(N62="","",N62*M62)</f>
        <v/>
      </c>
      <c r="P62" s="5" t="n"/>
    </row>
    <row r="63">
      <c r="A63" s="4">
        <f>IF(C63="","",ROW()-4)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inlineStr">
        <is>
          <t>THB</t>
        </is>
      </c>
      <c r="L63" s="6" t="n"/>
      <c r="M63" s="5" t="n">
        <v>1</v>
      </c>
      <c r="N63" s="7">
        <f>IF(L63="","",IF(K63="THB",L63,L63*IFERROR(VLOOKUP(K63,ตั้งค่า!$A$4:$B$10,2,FALSE),0)))</f>
        <v/>
      </c>
      <c r="O63" s="7">
        <f>IF(N63="","",N63*M63)</f>
        <v/>
      </c>
      <c r="P63" s="5" t="n"/>
    </row>
    <row r="64">
      <c r="A64" s="4">
        <f>IF(C64="","",ROW()-4)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inlineStr">
        <is>
          <t>THB</t>
        </is>
      </c>
      <c r="L64" s="6" t="n"/>
      <c r="M64" s="5" t="n">
        <v>1</v>
      </c>
      <c r="N64" s="7">
        <f>IF(L64="","",IF(K64="THB",L64,L64*IFERROR(VLOOKUP(K64,ตั้งค่า!$A$4:$B$10,2,FALSE),0)))</f>
        <v/>
      </c>
      <c r="O64" s="7">
        <f>IF(N64="","",N64*M64)</f>
        <v/>
      </c>
      <c r="P64" s="5" t="n"/>
    </row>
    <row r="65">
      <c r="A65" s="4">
        <f>IF(C65="","",ROW()-4)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inlineStr">
        <is>
          <t>THB</t>
        </is>
      </c>
      <c r="L65" s="6" t="n"/>
      <c r="M65" s="5" t="n">
        <v>1</v>
      </c>
      <c r="N65" s="7">
        <f>IF(L65="","",IF(K65="THB",L65,L65*IFERROR(VLOOKUP(K65,ตั้งค่า!$A$4:$B$10,2,FALSE),0)))</f>
        <v/>
      </c>
      <c r="O65" s="7">
        <f>IF(N65="","",N65*M65)</f>
        <v/>
      </c>
      <c r="P65" s="5" t="n"/>
    </row>
    <row r="66">
      <c r="A66" s="4">
        <f>IF(C66="","",ROW()-4)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inlineStr">
        <is>
          <t>THB</t>
        </is>
      </c>
      <c r="L66" s="6" t="n"/>
      <c r="M66" s="5" t="n">
        <v>1</v>
      </c>
      <c r="N66" s="7">
        <f>IF(L66="","",IF(K66="THB",L66,L66*IFERROR(VLOOKUP(K66,ตั้งค่า!$A$4:$B$10,2,FALSE),0)))</f>
        <v/>
      </c>
      <c r="O66" s="7">
        <f>IF(N66="","",N66*M66)</f>
        <v/>
      </c>
      <c r="P66" s="5" t="n"/>
    </row>
    <row r="67">
      <c r="A67" s="4">
        <f>IF(C67="","",ROW()-4)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inlineStr">
        <is>
          <t>THB</t>
        </is>
      </c>
      <c r="L67" s="6" t="n"/>
      <c r="M67" s="5" t="n">
        <v>1</v>
      </c>
      <c r="N67" s="7">
        <f>IF(L67="","",IF(K67="THB",L67,L67*IFERROR(VLOOKUP(K67,ตั้งค่า!$A$4:$B$10,2,FALSE),0)))</f>
        <v/>
      </c>
      <c r="O67" s="7">
        <f>IF(N67="","",N67*M67)</f>
        <v/>
      </c>
      <c r="P67" s="5" t="n"/>
    </row>
    <row r="68">
      <c r="A68" s="4">
        <f>IF(C68="","",ROW()-4)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inlineStr">
        <is>
          <t>THB</t>
        </is>
      </c>
      <c r="L68" s="6" t="n"/>
      <c r="M68" s="5" t="n">
        <v>1</v>
      </c>
      <c r="N68" s="7">
        <f>IF(L68="","",IF(K68="THB",L68,L68*IFERROR(VLOOKUP(K68,ตั้งค่า!$A$4:$B$10,2,FALSE),0)))</f>
        <v/>
      </c>
      <c r="O68" s="7">
        <f>IF(N68="","",N68*M68)</f>
        <v/>
      </c>
      <c r="P68" s="5" t="n"/>
    </row>
    <row r="69">
      <c r="A69" s="4">
        <f>IF(C69="","",ROW()-4)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inlineStr">
        <is>
          <t>THB</t>
        </is>
      </c>
      <c r="L69" s="6" t="n"/>
      <c r="M69" s="5" t="n">
        <v>1</v>
      </c>
      <c r="N69" s="7">
        <f>IF(L69="","",IF(K69="THB",L69,L69*IFERROR(VLOOKUP(K69,ตั้งค่า!$A$4:$B$10,2,FALSE),0)))</f>
        <v/>
      </c>
      <c r="O69" s="7">
        <f>IF(N69="","",N69*M69)</f>
        <v/>
      </c>
      <c r="P69" s="5" t="n"/>
    </row>
    <row r="70">
      <c r="A70" s="4">
        <f>IF(C70="","",ROW()-4)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inlineStr">
        <is>
          <t>THB</t>
        </is>
      </c>
      <c r="L70" s="6" t="n"/>
      <c r="M70" s="5" t="n">
        <v>1</v>
      </c>
      <c r="N70" s="7">
        <f>IF(L70="","",IF(K70="THB",L70,L70*IFERROR(VLOOKUP(K70,ตั้งค่า!$A$4:$B$10,2,FALSE),0)))</f>
        <v/>
      </c>
      <c r="O70" s="7">
        <f>IF(N70="","",N70*M70)</f>
        <v/>
      </c>
      <c r="P70" s="5" t="n"/>
    </row>
    <row r="71">
      <c r="A71" s="4">
        <f>IF(C71="","",ROW()-4)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inlineStr">
        <is>
          <t>THB</t>
        </is>
      </c>
      <c r="L71" s="6" t="n"/>
      <c r="M71" s="5" t="n">
        <v>1</v>
      </c>
      <c r="N71" s="7">
        <f>IF(L71="","",IF(K71="THB",L71,L71*IFERROR(VLOOKUP(K71,ตั้งค่า!$A$4:$B$10,2,FALSE),0)))</f>
        <v/>
      </c>
      <c r="O71" s="7">
        <f>IF(N71="","",N71*M71)</f>
        <v/>
      </c>
      <c r="P71" s="5" t="n"/>
    </row>
    <row r="72">
      <c r="A72" s="4">
        <f>IF(C72="","",ROW()-4)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inlineStr">
        <is>
          <t>THB</t>
        </is>
      </c>
      <c r="L72" s="6" t="n"/>
      <c r="M72" s="5" t="n">
        <v>1</v>
      </c>
      <c r="N72" s="7">
        <f>IF(L72="","",IF(K72="THB",L72,L72*IFERROR(VLOOKUP(K72,ตั้งค่า!$A$4:$B$10,2,FALSE),0)))</f>
        <v/>
      </c>
      <c r="O72" s="7">
        <f>IF(N72="","",N72*M72)</f>
        <v/>
      </c>
      <c r="P72" s="5" t="n"/>
    </row>
    <row r="73">
      <c r="A73" s="4">
        <f>IF(C73="","",ROW()-4)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inlineStr">
        <is>
          <t>THB</t>
        </is>
      </c>
      <c r="L73" s="6" t="n"/>
      <c r="M73" s="5" t="n">
        <v>1</v>
      </c>
      <c r="N73" s="7">
        <f>IF(L73="","",IF(K73="THB",L73,L73*IFERROR(VLOOKUP(K73,ตั้งค่า!$A$4:$B$10,2,FALSE),0)))</f>
        <v/>
      </c>
      <c r="O73" s="7">
        <f>IF(N73="","",N73*M73)</f>
        <v/>
      </c>
      <c r="P73" s="5" t="n"/>
    </row>
    <row r="74">
      <c r="A74" s="4">
        <f>IF(C74="","",ROW()-4)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inlineStr">
        <is>
          <t>THB</t>
        </is>
      </c>
      <c r="L74" s="6" t="n"/>
      <c r="M74" s="5" t="n">
        <v>1</v>
      </c>
      <c r="N74" s="7">
        <f>IF(L74="","",IF(K74="THB",L74,L74*IFERROR(VLOOKUP(K74,ตั้งค่า!$A$4:$B$10,2,FALSE),0)))</f>
        <v/>
      </c>
      <c r="O74" s="7">
        <f>IF(N74="","",N74*M74)</f>
        <v/>
      </c>
      <c r="P74" s="5" t="n"/>
    </row>
    <row r="75">
      <c r="A75" s="4">
        <f>IF(C75="","",ROW()-4)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inlineStr">
        <is>
          <t>THB</t>
        </is>
      </c>
      <c r="L75" s="6" t="n"/>
      <c r="M75" s="5" t="n">
        <v>1</v>
      </c>
      <c r="N75" s="7">
        <f>IF(L75="","",IF(K75="THB",L75,L75*IFERROR(VLOOKUP(K75,ตั้งค่า!$A$4:$B$10,2,FALSE),0)))</f>
        <v/>
      </c>
      <c r="O75" s="7">
        <f>IF(N75="","",N75*M75)</f>
        <v/>
      </c>
      <c r="P75" s="5" t="n"/>
    </row>
    <row r="76">
      <c r="A76" s="4">
        <f>IF(C76="","",ROW()-4)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inlineStr">
        <is>
          <t>THB</t>
        </is>
      </c>
      <c r="L76" s="6" t="n"/>
      <c r="M76" s="5" t="n">
        <v>1</v>
      </c>
      <c r="N76" s="7">
        <f>IF(L76="","",IF(K76="THB",L76,L76*IFERROR(VLOOKUP(K76,ตั้งค่า!$A$4:$B$10,2,FALSE),0)))</f>
        <v/>
      </c>
      <c r="O76" s="7">
        <f>IF(N76="","",N76*M76)</f>
        <v/>
      </c>
      <c r="P76" s="5" t="n"/>
    </row>
    <row r="77">
      <c r="A77" s="4">
        <f>IF(C77="","",ROW()-4)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inlineStr">
        <is>
          <t>THB</t>
        </is>
      </c>
      <c r="L77" s="6" t="n"/>
      <c r="M77" s="5" t="n">
        <v>1</v>
      </c>
      <c r="N77" s="7">
        <f>IF(L77="","",IF(K77="THB",L77,L77*IFERROR(VLOOKUP(K77,ตั้งค่า!$A$4:$B$10,2,FALSE),0)))</f>
        <v/>
      </c>
      <c r="O77" s="7">
        <f>IF(N77="","",N77*M77)</f>
        <v/>
      </c>
      <c r="P77" s="5" t="n"/>
    </row>
    <row r="78">
      <c r="A78" s="4">
        <f>IF(C78="","",ROW()-4)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inlineStr">
        <is>
          <t>THB</t>
        </is>
      </c>
      <c r="L78" s="6" t="n"/>
      <c r="M78" s="5" t="n">
        <v>1</v>
      </c>
      <c r="N78" s="7">
        <f>IF(L78="","",IF(K78="THB",L78,L78*IFERROR(VLOOKUP(K78,ตั้งค่า!$A$4:$B$10,2,FALSE),0)))</f>
        <v/>
      </c>
      <c r="O78" s="7">
        <f>IF(N78="","",N78*M78)</f>
        <v/>
      </c>
      <c r="P78" s="5" t="n"/>
    </row>
    <row r="79">
      <c r="A79" s="4">
        <f>IF(C79="","",ROW()-4)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inlineStr">
        <is>
          <t>THB</t>
        </is>
      </c>
      <c r="L79" s="6" t="n"/>
      <c r="M79" s="5" t="n">
        <v>1</v>
      </c>
      <c r="N79" s="7">
        <f>IF(L79="","",IF(K79="THB",L79,L79*IFERROR(VLOOKUP(K79,ตั้งค่า!$A$4:$B$10,2,FALSE),0)))</f>
        <v/>
      </c>
      <c r="O79" s="7">
        <f>IF(N79="","",N79*M79)</f>
        <v/>
      </c>
      <c r="P79" s="5" t="n"/>
    </row>
    <row r="80">
      <c r="A80" s="4">
        <f>IF(C80="","",ROW()-4)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inlineStr">
        <is>
          <t>THB</t>
        </is>
      </c>
      <c r="L80" s="6" t="n"/>
      <c r="M80" s="5" t="n">
        <v>1</v>
      </c>
      <c r="N80" s="7">
        <f>IF(L80="","",IF(K80="THB",L80,L80*IFERROR(VLOOKUP(K80,ตั้งค่า!$A$4:$B$10,2,FALSE),0)))</f>
        <v/>
      </c>
      <c r="O80" s="7">
        <f>IF(N80="","",N80*M80)</f>
        <v/>
      </c>
      <c r="P80" s="5" t="n"/>
    </row>
    <row r="81">
      <c r="A81" s="4">
        <f>IF(C81="","",ROW()-4)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inlineStr">
        <is>
          <t>THB</t>
        </is>
      </c>
      <c r="L81" s="6" t="n"/>
      <c r="M81" s="5" t="n">
        <v>1</v>
      </c>
      <c r="N81" s="7">
        <f>IF(L81="","",IF(K81="THB",L81,L81*IFERROR(VLOOKUP(K81,ตั้งค่า!$A$4:$B$10,2,FALSE),0)))</f>
        <v/>
      </c>
      <c r="O81" s="7">
        <f>IF(N81="","",N81*M81)</f>
        <v/>
      </c>
      <c r="P81" s="5" t="n"/>
    </row>
    <row r="82">
      <c r="A82" s="4">
        <f>IF(C82="","",ROW()-4)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inlineStr">
        <is>
          <t>THB</t>
        </is>
      </c>
      <c r="L82" s="6" t="n"/>
      <c r="M82" s="5" t="n">
        <v>1</v>
      </c>
      <c r="N82" s="7">
        <f>IF(L82="","",IF(K82="THB",L82,L82*IFERROR(VLOOKUP(K82,ตั้งค่า!$A$4:$B$10,2,FALSE),0)))</f>
        <v/>
      </c>
      <c r="O82" s="7">
        <f>IF(N82="","",N82*M82)</f>
        <v/>
      </c>
      <c r="P82" s="5" t="n"/>
    </row>
    <row r="83">
      <c r="A83" s="4">
        <f>IF(C83="","",ROW()-4)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inlineStr">
        <is>
          <t>THB</t>
        </is>
      </c>
      <c r="L83" s="6" t="n"/>
      <c r="M83" s="5" t="n">
        <v>1</v>
      </c>
      <c r="N83" s="7">
        <f>IF(L83="","",IF(K83="THB",L83,L83*IFERROR(VLOOKUP(K83,ตั้งค่า!$A$4:$B$10,2,FALSE),0)))</f>
        <v/>
      </c>
      <c r="O83" s="7">
        <f>IF(N83="","",N83*M83)</f>
        <v/>
      </c>
      <c r="P83" s="5" t="n"/>
    </row>
    <row r="84">
      <c r="A84" s="4">
        <f>IF(C84="","",ROW()-4)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inlineStr">
        <is>
          <t>THB</t>
        </is>
      </c>
      <c r="L84" s="6" t="n"/>
      <c r="M84" s="5" t="n">
        <v>1</v>
      </c>
      <c r="N84" s="7">
        <f>IF(L84="","",IF(K84="THB",L84,L84*IFERROR(VLOOKUP(K84,ตั้งค่า!$A$4:$B$10,2,FALSE),0)))</f>
        <v/>
      </c>
      <c r="O84" s="7">
        <f>IF(N84="","",N84*M84)</f>
        <v/>
      </c>
      <c r="P84" s="5" t="n"/>
    </row>
    <row r="85">
      <c r="A85" s="4">
        <f>IF(C85="","",ROW()-4)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inlineStr">
        <is>
          <t>THB</t>
        </is>
      </c>
      <c r="L85" s="6" t="n"/>
      <c r="M85" s="5" t="n">
        <v>1</v>
      </c>
      <c r="N85" s="7">
        <f>IF(L85="","",IF(K85="THB",L85,L85*IFERROR(VLOOKUP(K85,ตั้งค่า!$A$4:$B$10,2,FALSE),0)))</f>
        <v/>
      </c>
      <c r="O85" s="7">
        <f>IF(N85="","",N85*M85)</f>
        <v/>
      </c>
      <c r="P85" s="5" t="n"/>
    </row>
    <row r="86">
      <c r="A86" s="4">
        <f>IF(C86="","",ROW()-4)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inlineStr">
        <is>
          <t>THB</t>
        </is>
      </c>
      <c r="L86" s="6" t="n"/>
      <c r="M86" s="5" t="n">
        <v>1</v>
      </c>
      <c r="N86" s="7">
        <f>IF(L86="","",IF(K86="THB",L86,L86*IFERROR(VLOOKUP(K86,ตั้งค่า!$A$4:$B$10,2,FALSE),0)))</f>
        <v/>
      </c>
      <c r="O86" s="7">
        <f>IF(N86="","",N86*M86)</f>
        <v/>
      </c>
      <c r="P86" s="5" t="n"/>
    </row>
    <row r="87">
      <c r="A87" s="4">
        <f>IF(C87="","",ROW()-4)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inlineStr">
        <is>
          <t>THB</t>
        </is>
      </c>
      <c r="L87" s="6" t="n"/>
      <c r="M87" s="5" t="n">
        <v>1</v>
      </c>
      <c r="N87" s="7">
        <f>IF(L87="","",IF(K87="THB",L87,L87*IFERROR(VLOOKUP(K87,ตั้งค่า!$A$4:$B$10,2,FALSE),0)))</f>
        <v/>
      </c>
      <c r="O87" s="7">
        <f>IF(N87="","",N87*M87)</f>
        <v/>
      </c>
      <c r="P87" s="5" t="n"/>
    </row>
    <row r="88">
      <c r="A88" s="4">
        <f>IF(C88="","",ROW()-4)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inlineStr">
        <is>
          <t>THB</t>
        </is>
      </c>
      <c r="L88" s="6" t="n"/>
      <c r="M88" s="5" t="n">
        <v>1</v>
      </c>
      <c r="N88" s="7">
        <f>IF(L88="","",IF(K88="THB",L88,L88*IFERROR(VLOOKUP(K88,ตั้งค่า!$A$4:$B$10,2,FALSE),0)))</f>
        <v/>
      </c>
      <c r="O88" s="7">
        <f>IF(N88="","",N88*M88)</f>
        <v/>
      </c>
      <c r="P88" s="5" t="n"/>
    </row>
    <row r="89">
      <c r="A89" s="4">
        <f>IF(C89="","",ROW()-4)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inlineStr">
        <is>
          <t>THB</t>
        </is>
      </c>
      <c r="L89" s="6" t="n"/>
      <c r="M89" s="5" t="n">
        <v>1</v>
      </c>
      <c r="N89" s="7">
        <f>IF(L89="","",IF(K89="THB",L89,L89*IFERROR(VLOOKUP(K89,ตั้งค่า!$A$4:$B$10,2,FALSE),0)))</f>
        <v/>
      </c>
      <c r="O89" s="7">
        <f>IF(N89="","",N89*M89)</f>
        <v/>
      </c>
      <c r="P89" s="5" t="n"/>
    </row>
    <row r="90">
      <c r="A90" s="4">
        <f>IF(C90="","",ROW()-4)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inlineStr">
        <is>
          <t>THB</t>
        </is>
      </c>
      <c r="L90" s="6" t="n"/>
      <c r="M90" s="5" t="n">
        <v>1</v>
      </c>
      <c r="N90" s="7">
        <f>IF(L90="","",IF(K90="THB",L90,L90*IFERROR(VLOOKUP(K90,ตั้งค่า!$A$4:$B$10,2,FALSE),0)))</f>
        <v/>
      </c>
      <c r="O90" s="7">
        <f>IF(N90="","",N90*M90)</f>
        <v/>
      </c>
      <c r="P90" s="5" t="n"/>
    </row>
    <row r="91">
      <c r="A91" s="4">
        <f>IF(C91="","",ROW()-4)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inlineStr">
        <is>
          <t>THB</t>
        </is>
      </c>
      <c r="L91" s="6" t="n"/>
      <c r="M91" s="5" t="n">
        <v>1</v>
      </c>
      <c r="N91" s="7">
        <f>IF(L91="","",IF(K91="THB",L91,L91*IFERROR(VLOOKUP(K91,ตั้งค่า!$A$4:$B$10,2,FALSE),0)))</f>
        <v/>
      </c>
      <c r="O91" s="7">
        <f>IF(N91="","",N91*M91)</f>
        <v/>
      </c>
      <c r="P91" s="5" t="n"/>
    </row>
    <row r="92">
      <c r="A92" s="4">
        <f>IF(C92="","",ROW()-4)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inlineStr">
        <is>
          <t>THB</t>
        </is>
      </c>
      <c r="L92" s="6" t="n"/>
      <c r="M92" s="5" t="n">
        <v>1</v>
      </c>
      <c r="N92" s="7">
        <f>IF(L92="","",IF(K92="THB",L92,L92*IFERROR(VLOOKUP(K92,ตั้งค่า!$A$4:$B$10,2,FALSE),0)))</f>
        <v/>
      </c>
      <c r="O92" s="7">
        <f>IF(N92="","",N92*M92)</f>
        <v/>
      </c>
      <c r="P92" s="5" t="n"/>
    </row>
    <row r="93">
      <c r="A93" s="4">
        <f>IF(C93="","",ROW()-4)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inlineStr">
        <is>
          <t>THB</t>
        </is>
      </c>
      <c r="L93" s="6" t="n"/>
      <c r="M93" s="5" t="n">
        <v>1</v>
      </c>
      <c r="N93" s="7">
        <f>IF(L93="","",IF(K93="THB",L93,L93*IFERROR(VLOOKUP(K93,ตั้งค่า!$A$4:$B$10,2,FALSE),0)))</f>
        <v/>
      </c>
      <c r="O93" s="7">
        <f>IF(N93="","",N93*M93)</f>
        <v/>
      </c>
      <c r="P93" s="5" t="n"/>
    </row>
    <row r="94">
      <c r="A94" s="4">
        <f>IF(C94="","",ROW()-4)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inlineStr">
        <is>
          <t>THB</t>
        </is>
      </c>
      <c r="L94" s="6" t="n"/>
      <c r="M94" s="5" t="n">
        <v>1</v>
      </c>
      <c r="N94" s="7">
        <f>IF(L94="","",IF(K94="THB",L94,L94*IFERROR(VLOOKUP(K94,ตั้งค่า!$A$4:$B$10,2,FALSE),0)))</f>
        <v/>
      </c>
      <c r="O94" s="7">
        <f>IF(N94="","",N94*M94)</f>
        <v/>
      </c>
      <c r="P94" s="5" t="n"/>
    </row>
    <row r="95">
      <c r="A95" s="4">
        <f>IF(C95="","",ROW()-4)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inlineStr">
        <is>
          <t>THB</t>
        </is>
      </c>
      <c r="L95" s="6" t="n"/>
      <c r="M95" s="5" t="n">
        <v>1</v>
      </c>
      <c r="N95" s="7">
        <f>IF(L95="","",IF(K95="THB",L95,L95*IFERROR(VLOOKUP(K95,ตั้งค่า!$A$4:$B$10,2,FALSE),0)))</f>
        <v/>
      </c>
      <c r="O95" s="7">
        <f>IF(N95="","",N95*M95)</f>
        <v/>
      </c>
      <c r="P95" s="5" t="n"/>
    </row>
    <row r="96">
      <c r="A96" s="4">
        <f>IF(C96="","",ROW()-4)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inlineStr">
        <is>
          <t>THB</t>
        </is>
      </c>
      <c r="L96" s="6" t="n"/>
      <c r="M96" s="5" t="n">
        <v>1</v>
      </c>
      <c r="N96" s="7">
        <f>IF(L96="","",IF(K96="THB",L96,L96*IFERROR(VLOOKUP(K96,ตั้งค่า!$A$4:$B$10,2,FALSE),0)))</f>
        <v/>
      </c>
      <c r="O96" s="7">
        <f>IF(N96="","",N96*M96)</f>
        <v/>
      </c>
      <c r="P96" s="5" t="n"/>
    </row>
    <row r="97">
      <c r="A97" s="4">
        <f>IF(C97="","",ROW()-4)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inlineStr">
        <is>
          <t>THB</t>
        </is>
      </c>
      <c r="L97" s="6" t="n"/>
      <c r="M97" s="5" t="n">
        <v>1</v>
      </c>
      <c r="N97" s="7">
        <f>IF(L97="","",IF(K97="THB",L97,L97*IFERROR(VLOOKUP(K97,ตั้งค่า!$A$4:$B$10,2,FALSE),0)))</f>
        <v/>
      </c>
      <c r="O97" s="7">
        <f>IF(N97="","",N97*M97)</f>
        <v/>
      </c>
      <c r="P97" s="5" t="n"/>
    </row>
    <row r="98">
      <c r="A98" s="4">
        <f>IF(C98="","",ROW()-4)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inlineStr">
        <is>
          <t>THB</t>
        </is>
      </c>
      <c r="L98" s="6" t="n"/>
      <c r="M98" s="5" t="n">
        <v>1</v>
      </c>
      <c r="N98" s="7">
        <f>IF(L98="","",IF(K98="THB",L98,L98*IFERROR(VLOOKUP(K98,ตั้งค่า!$A$4:$B$10,2,FALSE),0)))</f>
        <v/>
      </c>
      <c r="O98" s="7">
        <f>IF(N98="","",N98*M98)</f>
        <v/>
      </c>
      <c r="P98" s="5" t="n"/>
    </row>
    <row r="99">
      <c r="A99" s="4">
        <f>IF(C99="","",ROW()-4)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inlineStr">
        <is>
          <t>THB</t>
        </is>
      </c>
      <c r="L99" s="6" t="n"/>
      <c r="M99" s="5" t="n">
        <v>1</v>
      </c>
      <c r="N99" s="7">
        <f>IF(L99="","",IF(K99="THB",L99,L99*IFERROR(VLOOKUP(K99,ตั้งค่า!$A$4:$B$10,2,FALSE),0)))</f>
        <v/>
      </c>
      <c r="O99" s="7">
        <f>IF(N99="","",N99*M99)</f>
        <v/>
      </c>
      <c r="P99" s="5" t="n"/>
    </row>
    <row r="100">
      <c r="A100" s="4">
        <f>IF(C100="","",ROW()-4)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inlineStr">
        <is>
          <t>THB</t>
        </is>
      </c>
      <c r="L100" s="6" t="n"/>
      <c r="M100" s="5" t="n">
        <v>1</v>
      </c>
      <c r="N100" s="7">
        <f>IF(L100="","",IF(K100="THB",L100,L100*IFERROR(VLOOKUP(K100,ตั้งค่า!$A$4:$B$10,2,FALSE),0)))</f>
        <v/>
      </c>
      <c r="O100" s="7">
        <f>IF(N100="","",N100*M100)</f>
        <v/>
      </c>
      <c r="P100" s="5" t="n"/>
    </row>
    <row r="101">
      <c r="A101" s="4">
        <f>IF(C101="","",ROW()-4)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inlineStr">
        <is>
          <t>THB</t>
        </is>
      </c>
      <c r="L101" s="6" t="n"/>
      <c r="M101" s="5" t="n">
        <v>1</v>
      </c>
      <c r="N101" s="7">
        <f>IF(L101="","",IF(K101="THB",L101,L101*IFERROR(VLOOKUP(K101,ตั้งค่า!$A$4:$B$10,2,FALSE),0)))</f>
        <v/>
      </c>
      <c r="O101" s="7">
        <f>IF(N101="","",N101*M101)</f>
        <v/>
      </c>
      <c r="P101" s="5" t="n"/>
    </row>
    <row r="102">
      <c r="A102" s="4">
        <f>IF(C102="","",ROW()-4)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inlineStr">
        <is>
          <t>THB</t>
        </is>
      </c>
      <c r="L102" s="6" t="n"/>
      <c r="M102" s="5" t="n">
        <v>1</v>
      </c>
      <c r="N102" s="7">
        <f>IF(L102="","",IF(K102="THB",L102,L102*IFERROR(VLOOKUP(K102,ตั้งค่า!$A$4:$B$10,2,FALSE),0)))</f>
        <v/>
      </c>
      <c r="O102" s="7">
        <f>IF(N102="","",N102*M102)</f>
        <v/>
      </c>
      <c r="P102" s="5" t="n"/>
    </row>
    <row r="103">
      <c r="A103" s="4">
        <f>IF(C103="","",ROW()-4)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inlineStr">
        <is>
          <t>THB</t>
        </is>
      </c>
      <c r="L103" s="6" t="n"/>
      <c r="M103" s="5" t="n">
        <v>1</v>
      </c>
      <c r="N103" s="7">
        <f>IF(L103="","",IF(K103="THB",L103,L103*IFERROR(VLOOKUP(K103,ตั้งค่า!$A$4:$B$10,2,FALSE),0)))</f>
        <v/>
      </c>
      <c r="O103" s="7">
        <f>IF(N103="","",N103*M103)</f>
        <v/>
      </c>
      <c r="P103" s="5" t="n"/>
    </row>
    <row r="104">
      <c r="A104" s="4">
        <f>IF(C104="","",ROW()-4)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inlineStr">
        <is>
          <t>THB</t>
        </is>
      </c>
      <c r="L104" s="6" t="n"/>
      <c r="M104" s="5" t="n">
        <v>1</v>
      </c>
      <c r="N104" s="7">
        <f>IF(L104="","",IF(K104="THB",L104,L104*IFERROR(VLOOKUP(K104,ตั้งค่า!$A$4:$B$10,2,FALSE),0)))</f>
        <v/>
      </c>
      <c r="O104" s="7">
        <f>IF(N104="","",N104*M104)</f>
        <v/>
      </c>
      <c r="P104" s="5" t="n"/>
    </row>
    <row r="105">
      <c r="A105" s="4">
        <f>IF(C105="","",ROW()-4)</f>
        <v/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inlineStr">
        <is>
          <t>THB</t>
        </is>
      </c>
      <c r="L105" s="6" t="n"/>
      <c r="M105" s="5" t="n">
        <v>1</v>
      </c>
      <c r="N105" s="7">
        <f>IF(L105="","",IF(K105="THB",L105,L105*IFERROR(VLOOKUP(K105,ตั้งค่า!$A$4:$B$10,2,FALSE),0)))</f>
        <v/>
      </c>
      <c r="O105" s="7">
        <f>IF(N105="","",N105*M105)</f>
        <v/>
      </c>
      <c r="P105" s="5" t="n"/>
    </row>
    <row r="106">
      <c r="A106" s="4">
        <f>IF(C106="","",ROW()-4)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inlineStr">
        <is>
          <t>THB</t>
        </is>
      </c>
      <c r="L106" s="6" t="n"/>
      <c r="M106" s="5" t="n">
        <v>1</v>
      </c>
      <c r="N106" s="7">
        <f>IF(L106="","",IF(K106="THB",L106,L106*IFERROR(VLOOKUP(K106,ตั้งค่า!$A$4:$B$10,2,FALSE),0)))</f>
        <v/>
      </c>
      <c r="O106" s="7">
        <f>IF(N106="","",N106*M106)</f>
        <v/>
      </c>
      <c r="P106" s="5" t="n"/>
    </row>
    <row r="107">
      <c r="A107" s="4">
        <f>IF(C107="","",ROW()-4)</f>
        <v/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inlineStr">
        <is>
          <t>THB</t>
        </is>
      </c>
      <c r="L107" s="6" t="n"/>
      <c r="M107" s="5" t="n">
        <v>1</v>
      </c>
      <c r="N107" s="7">
        <f>IF(L107="","",IF(K107="THB",L107,L107*IFERROR(VLOOKUP(K107,ตั้งค่า!$A$4:$B$10,2,FALSE),0)))</f>
        <v/>
      </c>
      <c r="O107" s="7">
        <f>IF(N107="","",N107*M107)</f>
        <v/>
      </c>
      <c r="P107" s="5" t="n"/>
    </row>
    <row r="108">
      <c r="A108" s="4">
        <f>IF(C108="","",ROW()-4)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inlineStr">
        <is>
          <t>THB</t>
        </is>
      </c>
      <c r="L108" s="6" t="n"/>
      <c r="M108" s="5" t="n">
        <v>1</v>
      </c>
      <c r="N108" s="7">
        <f>IF(L108="","",IF(K108="THB",L108,L108*IFERROR(VLOOKUP(K108,ตั้งค่า!$A$4:$B$10,2,FALSE),0)))</f>
        <v/>
      </c>
      <c r="O108" s="7">
        <f>IF(N108="","",N108*M108)</f>
        <v/>
      </c>
      <c r="P108" s="5" t="n"/>
    </row>
    <row r="109">
      <c r="A109" s="4">
        <f>IF(C109="","",ROW()-4)</f>
        <v/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inlineStr">
        <is>
          <t>THB</t>
        </is>
      </c>
      <c r="L109" s="6" t="n"/>
      <c r="M109" s="5" t="n">
        <v>1</v>
      </c>
      <c r="N109" s="7">
        <f>IF(L109="","",IF(K109="THB",L109,L109*IFERROR(VLOOKUP(K109,ตั้งค่า!$A$4:$B$10,2,FALSE),0)))</f>
        <v/>
      </c>
      <c r="O109" s="7">
        <f>IF(N109="","",N109*M109)</f>
        <v/>
      </c>
      <c r="P109" s="5" t="n"/>
    </row>
    <row r="110">
      <c r="A110" s="4">
        <f>IF(C110="","",ROW()-4)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inlineStr">
        <is>
          <t>THB</t>
        </is>
      </c>
      <c r="L110" s="6" t="n"/>
      <c r="M110" s="5" t="n">
        <v>1</v>
      </c>
      <c r="N110" s="7">
        <f>IF(L110="","",IF(K110="THB",L110,L110*IFERROR(VLOOKUP(K110,ตั้งค่า!$A$4:$B$10,2,FALSE),0)))</f>
        <v/>
      </c>
      <c r="O110" s="7">
        <f>IF(N110="","",N110*M110)</f>
        <v/>
      </c>
      <c r="P110" s="5" t="n"/>
    </row>
    <row r="111">
      <c r="A111" s="4">
        <f>IF(C111="","",ROW()-4)</f>
        <v/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inlineStr">
        <is>
          <t>THB</t>
        </is>
      </c>
      <c r="L111" s="6" t="n"/>
      <c r="M111" s="5" t="n">
        <v>1</v>
      </c>
      <c r="N111" s="7">
        <f>IF(L111="","",IF(K111="THB",L111,L111*IFERROR(VLOOKUP(K111,ตั้งค่า!$A$4:$B$10,2,FALSE),0)))</f>
        <v/>
      </c>
      <c r="O111" s="7">
        <f>IF(N111="","",N111*M111)</f>
        <v/>
      </c>
      <c r="P111" s="5" t="n"/>
    </row>
    <row r="112">
      <c r="A112" s="4">
        <f>IF(C112="","",ROW()-4)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inlineStr">
        <is>
          <t>THB</t>
        </is>
      </c>
      <c r="L112" s="6" t="n"/>
      <c r="M112" s="5" t="n">
        <v>1</v>
      </c>
      <c r="N112" s="7">
        <f>IF(L112="","",IF(K112="THB",L112,L112*IFERROR(VLOOKUP(K112,ตั้งค่า!$A$4:$B$10,2,FALSE),0)))</f>
        <v/>
      </c>
      <c r="O112" s="7">
        <f>IF(N112="","",N112*M112)</f>
        <v/>
      </c>
      <c r="P112" s="5" t="n"/>
    </row>
    <row r="113">
      <c r="A113" s="4">
        <f>IF(C113="","",ROW()-4)</f>
        <v/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inlineStr">
        <is>
          <t>THB</t>
        </is>
      </c>
      <c r="L113" s="6" t="n"/>
      <c r="M113" s="5" t="n">
        <v>1</v>
      </c>
      <c r="N113" s="7">
        <f>IF(L113="","",IF(K113="THB",L113,L113*IFERROR(VLOOKUP(K113,ตั้งค่า!$A$4:$B$10,2,FALSE),0)))</f>
        <v/>
      </c>
      <c r="O113" s="7">
        <f>IF(N113="","",N113*M113)</f>
        <v/>
      </c>
      <c r="P113" s="5" t="n"/>
    </row>
    <row r="114">
      <c r="A114" s="4">
        <f>IF(C114="","",ROW()-4)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inlineStr">
        <is>
          <t>THB</t>
        </is>
      </c>
      <c r="L114" s="6" t="n"/>
      <c r="M114" s="5" t="n">
        <v>1</v>
      </c>
      <c r="N114" s="7">
        <f>IF(L114="","",IF(K114="THB",L114,L114*IFERROR(VLOOKUP(K114,ตั้งค่า!$A$4:$B$10,2,FALSE),0)))</f>
        <v/>
      </c>
      <c r="O114" s="7">
        <f>IF(N114="","",N114*M114)</f>
        <v/>
      </c>
      <c r="P114" s="5" t="n"/>
    </row>
    <row r="115">
      <c r="A115" s="4">
        <f>IF(C115="","",ROW()-4)</f>
        <v/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inlineStr">
        <is>
          <t>THB</t>
        </is>
      </c>
      <c r="L115" s="6" t="n"/>
      <c r="M115" s="5" t="n">
        <v>1</v>
      </c>
      <c r="N115" s="7">
        <f>IF(L115="","",IF(K115="THB",L115,L115*IFERROR(VLOOKUP(K115,ตั้งค่า!$A$4:$B$10,2,FALSE),0)))</f>
        <v/>
      </c>
      <c r="O115" s="7">
        <f>IF(N115="","",N115*M115)</f>
        <v/>
      </c>
      <c r="P115" s="5" t="n"/>
    </row>
    <row r="116">
      <c r="A116" s="4">
        <f>IF(C116="","",ROW()-4)</f>
        <v/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inlineStr">
        <is>
          <t>THB</t>
        </is>
      </c>
      <c r="L116" s="6" t="n"/>
      <c r="M116" s="5" t="n">
        <v>1</v>
      </c>
      <c r="N116" s="7">
        <f>IF(L116="","",IF(K116="THB",L116,L116*IFERROR(VLOOKUP(K116,ตั้งค่า!$A$4:$B$10,2,FALSE),0)))</f>
        <v/>
      </c>
      <c r="O116" s="7">
        <f>IF(N116="","",N116*M116)</f>
        <v/>
      </c>
      <c r="P116" s="5" t="n"/>
    </row>
    <row r="117">
      <c r="A117" s="4">
        <f>IF(C117="","",ROW()-4)</f>
        <v/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inlineStr">
        <is>
          <t>THB</t>
        </is>
      </c>
      <c r="L117" s="6" t="n"/>
      <c r="M117" s="5" t="n">
        <v>1</v>
      </c>
      <c r="N117" s="7">
        <f>IF(L117="","",IF(K117="THB",L117,L117*IFERROR(VLOOKUP(K117,ตั้งค่า!$A$4:$B$10,2,FALSE),0)))</f>
        <v/>
      </c>
      <c r="O117" s="7">
        <f>IF(N117="","",N117*M117)</f>
        <v/>
      </c>
      <c r="P117" s="5" t="n"/>
    </row>
    <row r="118">
      <c r="A118" s="4">
        <f>IF(C118="","",ROW()-4)</f>
        <v/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inlineStr">
        <is>
          <t>THB</t>
        </is>
      </c>
      <c r="L118" s="6" t="n"/>
      <c r="M118" s="5" t="n">
        <v>1</v>
      </c>
      <c r="N118" s="7">
        <f>IF(L118="","",IF(K118="THB",L118,L118*IFERROR(VLOOKUP(K118,ตั้งค่า!$A$4:$B$10,2,FALSE),0)))</f>
        <v/>
      </c>
      <c r="O118" s="7">
        <f>IF(N118="","",N118*M118)</f>
        <v/>
      </c>
      <c r="P118" s="5" t="n"/>
    </row>
    <row r="119">
      <c r="A119" s="4">
        <f>IF(C119="","",ROW()-4)</f>
        <v/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inlineStr">
        <is>
          <t>THB</t>
        </is>
      </c>
      <c r="L119" s="6" t="n"/>
      <c r="M119" s="5" t="n">
        <v>1</v>
      </c>
      <c r="N119" s="7">
        <f>IF(L119="","",IF(K119="THB",L119,L119*IFERROR(VLOOKUP(K119,ตั้งค่า!$A$4:$B$10,2,FALSE),0)))</f>
        <v/>
      </c>
      <c r="O119" s="7">
        <f>IF(N119="","",N119*M119)</f>
        <v/>
      </c>
      <c r="P119" s="5" t="n"/>
    </row>
    <row r="120">
      <c r="A120" s="4">
        <f>IF(C120="","",ROW()-4)</f>
        <v/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inlineStr">
        <is>
          <t>THB</t>
        </is>
      </c>
      <c r="L120" s="6" t="n"/>
      <c r="M120" s="5" t="n">
        <v>1</v>
      </c>
      <c r="N120" s="7">
        <f>IF(L120="","",IF(K120="THB",L120,L120*IFERROR(VLOOKUP(K120,ตั้งค่า!$A$4:$B$10,2,FALSE),0)))</f>
        <v/>
      </c>
      <c r="O120" s="7">
        <f>IF(N120="","",N120*M120)</f>
        <v/>
      </c>
      <c r="P120" s="5" t="n"/>
    </row>
    <row r="121">
      <c r="A121" s="4">
        <f>IF(C121="","",ROW()-4)</f>
        <v/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inlineStr">
        <is>
          <t>THB</t>
        </is>
      </c>
      <c r="L121" s="6" t="n"/>
      <c r="M121" s="5" t="n">
        <v>1</v>
      </c>
      <c r="N121" s="7">
        <f>IF(L121="","",IF(K121="THB",L121,L121*IFERROR(VLOOKUP(K121,ตั้งค่า!$A$4:$B$10,2,FALSE),0)))</f>
        <v/>
      </c>
      <c r="O121" s="7">
        <f>IF(N121="","",N121*M121)</f>
        <v/>
      </c>
      <c r="P121" s="5" t="n"/>
    </row>
    <row r="122">
      <c r="A122" s="4">
        <f>IF(C122="","",ROW()-4)</f>
        <v/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inlineStr">
        <is>
          <t>THB</t>
        </is>
      </c>
      <c r="L122" s="6" t="n"/>
      <c r="M122" s="5" t="n">
        <v>1</v>
      </c>
      <c r="N122" s="7">
        <f>IF(L122="","",IF(K122="THB",L122,L122*IFERROR(VLOOKUP(K122,ตั้งค่า!$A$4:$B$10,2,FALSE),0)))</f>
        <v/>
      </c>
      <c r="O122" s="7">
        <f>IF(N122="","",N122*M122)</f>
        <v/>
      </c>
      <c r="P122" s="5" t="n"/>
    </row>
    <row r="123">
      <c r="A123" s="4">
        <f>IF(C123="","",ROW()-4)</f>
        <v/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inlineStr">
        <is>
          <t>THB</t>
        </is>
      </c>
      <c r="L123" s="6" t="n"/>
      <c r="M123" s="5" t="n">
        <v>1</v>
      </c>
      <c r="N123" s="7">
        <f>IF(L123="","",IF(K123="THB",L123,L123*IFERROR(VLOOKUP(K123,ตั้งค่า!$A$4:$B$10,2,FALSE),0)))</f>
        <v/>
      </c>
      <c r="O123" s="7">
        <f>IF(N123="","",N123*M123)</f>
        <v/>
      </c>
      <c r="P123" s="5" t="n"/>
    </row>
    <row r="124">
      <c r="A124" s="4">
        <f>IF(C124="","",ROW()-4)</f>
        <v/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inlineStr">
        <is>
          <t>THB</t>
        </is>
      </c>
      <c r="L124" s="6" t="n"/>
      <c r="M124" s="5" t="n">
        <v>1</v>
      </c>
      <c r="N124" s="7">
        <f>IF(L124="","",IF(K124="THB",L124,L124*IFERROR(VLOOKUP(K124,ตั้งค่า!$A$4:$B$10,2,FALSE),0)))</f>
        <v/>
      </c>
      <c r="O124" s="7">
        <f>IF(N124="","",N124*M124)</f>
        <v/>
      </c>
      <c r="P124" s="5" t="n"/>
    </row>
    <row r="125">
      <c r="A125" s="4">
        <f>IF(C125="","",ROW()-4)</f>
        <v/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inlineStr">
        <is>
          <t>THB</t>
        </is>
      </c>
      <c r="L125" s="6" t="n"/>
      <c r="M125" s="5" t="n">
        <v>1</v>
      </c>
      <c r="N125" s="7">
        <f>IF(L125="","",IF(K125="THB",L125,L125*IFERROR(VLOOKUP(K125,ตั้งค่า!$A$4:$B$10,2,FALSE),0)))</f>
        <v/>
      </c>
      <c r="O125" s="7">
        <f>IF(N125="","",N125*M125)</f>
        <v/>
      </c>
      <c r="P125" s="5" t="n"/>
    </row>
    <row r="126">
      <c r="A126" s="4">
        <f>IF(C126="","",ROW()-4)</f>
        <v/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inlineStr">
        <is>
          <t>THB</t>
        </is>
      </c>
      <c r="L126" s="6" t="n"/>
      <c r="M126" s="5" t="n">
        <v>1</v>
      </c>
      <c r="N126" s="7">
        <f>IF(L126="","",IF(K126="THB",L126,L126*IFERROR(VLOOKUP(K126,ตั้งค่า!$A$4:$B$10,2,FALSE),0)))</f>
        <v/>
      </c>
      <c r="O126" s="7">
        <f>IF(N126="","",N126*M126)</f>
        <v/>
      </c>
      <c r="P126" s="5" t="n"/>
    </row>
    <row r="127">
      <c r="A127" s="4">
        <f>IF(C127="","",ROW()-4)</f>
        <v/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inlineStr">
        <is>
          <t>THB</t>
        </is>
      </c>
      <c r="L127" s="6" t="n"/>
      <c r="M127" s="5" t="n">
        <v>1</v>
      </c>
      <c r="N127" s="7">
        <f>IF(L127="","",IF(K127="THB",L127,L127*IFERROR(VLOOKUP(K127,ตั้งค่า!$A$4:$B$10,2,FALSE),0)))</f>
        <v/>
      </c>
      <c r="O127" s="7">
        <f>IF(N127="","",N127*M127)</f>
        <v/>
      </c>
      <c r="P127" s="5" t="n"/>
    </row>
    <row r="128">
      <c r="A128" s="4">
        <f>IF(C128="","",ROW()-4)</f>
        <v/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inlineStr">
        <is>
          <t>THB</t>
        </is>
      </c>
      <c r="L128" s="6" t="n"/>
      <c r="M128" s="5" t="n">
        <v>1</v>
      </c>
      <c r="N128" s="7">
        <f>IF(L128="","",IF(K128="THB",L128,L128*IFERROR(VLOOKUP(K128,ตั้งค่า!$A$4:$B$10,2,FALSE),0)))</f>
        <v/>
      </c>
      <c r="O128" s="7">
        <f>IF(N128="","",N128*M128)</f>
        <v/>
      </c>
      <c r="P128" s="5" t="n"/>
    </row>
    <row r="129">
      <c r="A129" s="4">
        <f>IF(C129="","",ROW()-4)</f>
        <v/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inlineStr">
        <is>
          <t>THB</t>
        </is>
      </c>
      <c r="L129" s="6" t="n"/>
      <c r="M129" s="5" t="n">
        <v>1</v>
      </c>
      <c r="N129" s="7">
        <f>IF(L129="","",IF(K129="THB",L129,L129*IFERROR(VLOOKUP(K129,ตั้งค่า!$A$4:$B$10,2,FALSE),0)))</f>
        <v/>
      </c>
      <c r="O129" s="7">
        <f>IF(N129="","",N129*M129)</f>
        <v/>
      </c>
      <c r="P129" s="5" t="n"/>
    </row>
    <row r="130">
      <c r="A130" s="4">
        <f>IF(C130="","",ROW()-4)</f>
        <v/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inlineStr">
        <is>
          <t>THB</t>
        </is>
      </c>
      <c r="L130" s="6" t="n"/>
      <c r="M130" s="5" t="n">
        <v>1</v>
      </c>
      <c r="N130" s="7">
        <f>IF(L130="","",IF(K130="THB",L130,L130*IFERROR(VLOOKUP(K130,ตั้งค่า!$A$4:$B$10,2,FALSE),0)))</f>
        <v/>
      </c>
      <c r="O130" s="7">
        <f>IF(N130="","",N130*M130)</f>
        <v/>
      </c>
      <c r="P130" s="5" t="n"/>
    </row>
    <row r="131">
      <c r="A131" s="4">
        <f>IF(C131="","",ROW()-4)</f>
        <v/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inlineStr">
        <is>
          <t>THB</t>
        </is>
      </c>
      <c r="L131" s="6" t="n"/>
      <c r="M131" s="5" t="n">
        <v>1</v>
      </c>
      <c r="N131" s="7">
        <f>IF(L131="","",IF(K131="THB",L131,L131*IFERROR(VLOOKUP(K131,ตั้งค่า!$A$4:$B$10,2,FALSE),0)))</f>
        <v/>
      </c>
      <c r="O131" s="7">
        <f>IF(N131="","",N131*M131)</f>
        <v/>
      </c>
      <c r="P131" s="5" t="n"/>
    </row>
    <row r="132">
      <c r="A132" s="4">
        <f>IF(C132="","",ROW()-4)</f>
        <v/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inlineStr">
        <is>
          <t>THB</t>
        </is>
      </c>
      <c r="L132" s="6" t="n"/>
      <c r="M132" s="5" t="n">
        <v>1</v>
      </c>
      <c r="N132" s="7">
        <f>IF(L132="","",IF(K132="THB",L132,L132*IFERROR(VLOOKUP(K132,ตั้งค่า!$A$4:$B$10,2,FALSE),0)))</f>
        <v/>
      </c>
      <c r="O132" s="7">
        <f>IF(N132="","",N132*M132)</f>
        <v/>
      </c>
      <c r="P132" s="5" t="n"/>
    </row>
    <row r="133">
      <c r="A133" s="4">
        <f>IF(C133="","",ROW()-4)</f>
        <v/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inlineStr">
        <is>
          <t>THB</t>
        </is>
      </c>
      <c r="L133" s="6" t="n"/>
      <c r="M133" s="5" t="n">
        <v>1</v>
      </c>
      <c r="N133" s="7">
        <f>IF(L133="","",IF(K133="THB",L133,L133*IFERROR(VLOOKUP(K133,ตั้งค่า!$A$4:$B$10,2,FALSE),0)))</f>
        <v/>
      </c>
      <c r="O133" s="7">
        <f>IF(N133="","",N133*M133)</f>
        <v/>
      </c>
      <c r="P133" s="5" t="n"/>
    </row>
    <row r="134">
      <c r="A134" s="4">
        <f>IF(C134="","",ROW()-4)</f>
        <v/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inlineStr">
        <is>
          <t>THB</t>
        </is>
      </c>
      <c r="L134" s="6" t="n"/>
      <c r="M134" s="5" t="n">
        <v>1</v>
      </c>
      <c r="N134" s="7">
        <f>IF(L134="","",IF(K134="THB",L134,L134*IFERROR(VLOOKUP(K134,ตั้งค่า!$A$4:$B$10,2,FALSE),0)))</f>
        <v/>
      </c>
      <c r="O134" s="7">
        <f>IF(N134="","",N134*M134)</f>
        <v/>
      </c>
      <c r="P134" s="5" t="n"/>
    </row>
    <row r="135">
      <c r="A135" s="4">
        <f>IF(C135="","",ROW()-4)</f>
        <v/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inlineStr">
        <is>
          <t>THB</t>
        </is>
      </c>
      <c r="L135" s="6" t="n"/>
      <c r="M135" s="5" t="n">
        <v>1</v>
      </c>
      <c r="N135" s="7">
        <f>IF(L135="","",IF(K135="THB",L135,L135*IFERROR(VLOOKUP(K135,ตั้งค่า!$A$4:$B$10,2,FALSE),0)))</f>
        <v/>
      </c>
      <c r="O135" s="7">
        <f>IF(N135="","",N135*M135)</f>
        <v/>
      </c>
      <c r="P135" s="5" t="n"/>
    </row>
    <row r="136">
      <c r="A136" s="4">
        <f>IF(C136="","",ROW()-4)</f>
        <v/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inlineStr">
        <is>
          <t>THB</t>
        </is>
      </c>
      <c r="L136" s="6" t="n"/>
      <c r="M136" s="5" t="n">
        <v>1</v>
      </c>
      <c r="N136" s="7">
        <f>IF(L136="","",IF(K136="THB",L136,L136*IFERROR(VLOOKUP(K136,ตั้งค่า!$A$4:$B$10,2,FALSE),0)))</f>
        <v/>
      </c>
      <c r="O136" s="7">
        <f>IF(N136="","",N136*M136)</f>
        <v/>
      </c>
      <c r="P136" s="5" t="n"/>
    </row>
    <row r="137">
      <c r="A137" s="4">
        <f>IF(C137="","",ROW()-4)</f>
        <v/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inlineStr">
        <is>
          <t>THB</t>
        </is>
      </c>
      <c r="L137" s="6" t="n"/>
      <c r="M137" s="5" t="n">
        <v>1</v>
      </c>
      <c r="N137" s="7">
        <f>IF(L137="","",IF(K137="THB",L137,L137*IFERROR(VLOOKUP(K137,ตั้งค่า!$A$4:$B$10,2,FALSE),0)))</f>
        <v/>
      </c>
      <c r="O137" s="7">
        <f>IF(N137="","",N137*M137)</f>
        <v/>
      </c>
      <c r="P137" s="5" t="n"/>
    </row>
    <row r="138">
      <c r="A138" s="4">
        <f>IF(C138="","",ROW()-4)</f>
        <v/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inlineStr">
        <is>
          <t>THB</t>
        </is>
      </c>
      <c r="L138" s="6" t="n"/>
      <c r="M138" s="5" t="n">
        <v>1</v>
      </c>
      <c r="N138" s="7">
        <f>IF(L138="","",IF(K138="THB",L138,L138*IFERROR(VLOOKUP(K138,ตั้งค่า!$A$4:$B$10,2,FALSE),0)))</f>
        <v/>
      </c>
      <c r="O138" s="7">
        <f>IF(N138="","",N138*M138)</f>
        <v/>
      </c>
      <c r="P138" s="5" t="n"/>
    </row>
    <row r="139">
      <c r="A139" s="4">
        <f>IF(C139="","",ROW()-4)</f>
        <v/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inlineStr">
        <is>
          <t>THB</t>
        </is>
      </c>
      <c r="L139" s="6" t="n"/>
      <c r="M139" s="5" t="n">
        <v>1</v>
      </c>
      <c r="N139" s="7">
        <f>IF(L139="","",IF(K139="THB",L139,L139*IFERROR(VLOOKUP(K139,ตั้งค่า!$A$4:$B$10,2,FALSE),0)))</f>
        <v/>
      </c>
      <c r="O139" s="7">
        <f>IF(N139="","",N139*M139)</f>
        <v/>
      </c>
      <c r="P139" s="5" t="n"/>
    </row>
    <row r="140">
      <c r="A140" s="4">
        <f>IF(C140="","",ROW()-4)</f>
        <v/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inlineStr">
        <is>
          <t>THB</t>
        </is>
      </c>
      <c r="L140" s="6" t="n"/>
      <c r="M140" s="5" t="n">
        <v>1</v>
      </c>
      <c r="N140" s="7">
        <f>IF(L140="","",IF(K140="THB",L140,L140*IFERROR(VLOOKUP(K140,ตั้งค่า!$A$4:$B$10,2,FALSE),0)))</f>
        <v/>
      </c>
      <c r="O140" s="7">
        <f>IF(N140="","",N140*M140)</f>
        <v/>
      </c>
      <c r="P140" s="5" t="n"/>
    </row>
    <row r="141">
      <c r="A141" s="4">
        <f>IF(C141="","",ROW()-4)</f>
        <v/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inlineStr">
        <is>
          <t>THB</t>
        </is>
      </c>
      <c r="L141" s="6" t="n"/>
      <c r="M141" s="5" t="n">
        <v>1</v>
      </c>
      <c r="N141" s="7">
        <f>IF(L141="","",IF(K141="THB",L141,L141*IFERROR(VLOOKUP(K141,ตั้งค่า!$A$4:$B$10,2,FALSE),0)))</f>
        <v/>
      </c>
      <c r="O141" s="7">
        <f>IF(N141="","",N141*M141)</f>
        <v/>
      </c>
      <c r="P141" s="5" t="n"/>
    </row>
    <row r="142">
      <c r="A142" s="4">
        <f>IF(C142="","",ROW()-4)</f>
        <v/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inlineStr">
        <is>
          <t>THB</t>
        </is>
      </c>
      <c r="L142" s="6" t="n"/>
      <c r="M142" s="5" t="n">
        <v>1</v>
      </c>
      <c r="N142" s="7">
        <f>IF(L142="","",IF(K142="THB",L142,L142*IFERROR(VLOOKUP(K142,ตั้งค่า!$A$4:$B$10,2,FALSE),0)))</f>
        <v/>
      </c>
      <c r="O142" s="7">
        <f>IF(N142="","",N142*M142)</f>
        <v/>
      </c>
      <c r="P142" s="5" t="n"/>
    </row>
    <row r="143">
      <c r="A143" s="4">
        <f>IF(C143="","",ROW()-4)</f>
        <v/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inlineStr">
        <is>
          <t>THB</t>
        </is>
      </c>
      <c r="L143" s="6" t="n"/>
      <c r="M143" s="5" t="n">
        <v>1</v>
      </c>
      <c r="N143" s="7">
        <f>IF(L143="","",IF(K143="THB",L143,L143*IFERROR(VLOOKUP(K143,ตั้งค่า!$A$4:$B$10,2,FALSE),0)))</f>
        <v/>
      </c>
      <c r="O143" s="7">
        <f>IF(N143="","",N143*M143)</f>
        <v/>
      </c>
      <c r="P143" s="5" t="n"/>
    </row>
    <row r="144">
      <c r="A144" s="4">
        <f>IF(C144="","",ROW()-4)</f>
        <v/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inlineStr">
        <is>
          <t>THB</t>
        </is>
      </c>
      <c r="L144" s="6" t="n"/>
      <c r="M144" s="5" t="n">
        <v>1</v>
      </c>
      <c r="N144" s="7">
        <f>IF(L144="","",IF(K144="THB",L144,L144*IFERROR(VLOOKUP(K144,ตั้งค่า!$A$4:$B$10,2,FALSE),0)))</f>
        <v/>
      </c>
      <c r="O144" s="7">
        <f>IF(N144="","",N144*M144)</f>
        <v/>
      </c>
      <c r="P144" s="5" t="n"/>
    </row>
    <row r="145">
      <c r="A145" s="4">
        <f>IF(C145="","",ROW()-4)</f>
        <v/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inlineStr">
        <is>
          <t>THB</t>
        </is>
      </c>
      <c r="L145" s="6" t="n"/>
      <c r="M145" s="5" t="n">
        <v>1</v>
      </c>
      <c r="N145" s="7">
        <f>IF(L145="","",IF(K145="THB",L145,L145*IFERROR(VLOOKUP(K145,ตั้งค่า!$A$4:$B$10,2,FALSE),0)))</f>
        <v/>
      </c>
      <c r="O145" s="7">
        <f>IF(N145="","",N145*M145)</f>
        <v/>
      </c>
      <c r="P145" s="5" t="n"/>
    </row>
    <row r="146">
      <c r="A146" s="4">
        <f>IF(C146="","",ROW()-4)</f>
        <v/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inlineStr">
        <is>
          <t>THB</t>
        </is>
      </c>
      <c r="L146" s="6" t="n"/>
      <c r="M146" s="5" t="n">
        <v>1</v>
      </c>
      <c r="N146" s="7">
        <f>IF(L146="","",IF(K146="THB",L146,L146*IFERROR(VLOOKUP(K146,ตั้งค่า!$A$4:$B$10,2,FALSE),0)))</f>
        <v/>
      </c>
      <c r="O146" s="7">
        <f>IF(N146="","",N146*M146)</f>
        <v/>
      </c>
      <c r="P146" s="5" t="n"/>
    </row>
    <row r="147">
      <c r="A147" s="4">
        <f>IF(C147="","",ROW()-4)</f>
        <v/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inlineStr">
        <is>
          <t>THB</t>
        </is>
      </c>
      <c r="L147" s="6" t="n"/>
      <c r="M147" s="5" t="n">
        <v>1</v>
      </c>
      <c r="N147" s="7">
        <f>IF(L147="","",IF(K147="THB",L147,L147*IFERROR(VLOOKUP(K147,ตั้งค่า!$A$4:$B$10,2,FALSE),0)))</f>
        <v/>
      </c>
      <c r="O147" s="7">
        <f>IF(N147="","",N147*M147)</f>
        <v/>
      </c>
      <c r="P147" s="5" t="n"/>
    </row>
    <row r="148">
      <c r="A148" s="4">
        <f>IF(C148="","",ROW()-4)</f>
        <v/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inlineStr">
        <is>
          <t>THB</t>
        </is>
      </c>
      <c r="L148" s="6" t="n"/>
      <c r="M148" s="5" t="n">
        <v>1</v>
      </c>
      <c r="N148" s="7">
        <f>IF(L148="","",IF(K148="THB",L148,L148*IFERROR(VLOOKUP(K148,ตั้งค่า!$A$4:$B$10,2,FALSE),0)))</f>
        <v/>
      </c>
      <c r="O148" s="7">
        <f>IF(N148="","",N148*M148)</f>
        <v/>
      </c>
      <c r="P148" s="5" t="n"/>
    </row>
    <row r="149">
      <c r="A149" s="4">
        <f>IF(C149="","",ROW()-4)</f>
        <v/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inlineStr">
        <is>
          <t>THB</t>
        </is>
      </c>
      <c r="L149" s="6" t="n"/>
      <c r="M149" s="5" t="n">
        <v>1</v>
      </c>
      <c r="N149" s="7">
        <f>IF(L149="","",IF(K149="THB",L149,L149*IFERROR(VLOOKUP(K149,ตั้งค่า!$A$4:$B$10,2,FALSE),0)))</f>
        <v/>
      </c>
      <c r="O149" s="7">
        <f>IF(N149="","",N149*M149)</f>
        <v/>
      </c>
      <c r="P149" s="5" t="n"/>
    </row>
    <row r="150">
      <c r="A150" s="4">
        <f>IF(C150="","",ROW()-4)</f>
        <v/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inlineStr">
        <is>
          <t>THB</t>
        </is>
      </c>
      <c r="L150" s="6" t="n"/>
      <c r="M150" s="5" t="n">
        <v>1</v>
      </c>
      <c r="N150" s="7">
        <f>IF(L150="","",IF(K150="THB",L150,L150*IFERROR(VLOOKUP(K150,ตั้งค่า!$A$4:$B$10,2,FALSE),0)))</f>
        <v/>
      </c>
      <c r="O150" s="7">
        <f>IF(N150="","",N150*M150)</f>
        <v/>
      </c>
      <c r="P150" s="5" t="n"/>
    </row>
    <row r="151">
      <c r="A151" s="4">
        <f>IF(C151="","",ROW()-4)</f>
        <v/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inlineStr">
        <is>
          <t>THB</t>
        </is>
      </c>
      <c r="L151" s="6" t="n"/>
      <c r="M151" s="5" t="n">
        <v>1</v>
      </c>
      <c r="N151" s="7">
        <f>IF(L151="","",IF(K151="THB",L151,L151*IFERROR(VLOOKUP(K151,ตั้งค่า!$A$4:$B$10,2,FALSE),0)))</f>
        <v/>
      </c>
      <c r="O151" s="7">
        <f>IF(N151="","",N151*M151)</f>
        <v/>
      </c>
      <c r="P151" s="5" t="n"/>
    </row>
    <row r="152">
      <c r="A152" s="4">
        <f>IF(C152="","",ROW()-4)</f>
        <v/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inlineStr">
        <is>
          <t>THB</t>
        </is>
      </c>
      <c r="L152" s="6" t="n"/>
      <c r="M152" s="5" t="n">
        <v>1</v>
      </c>
      <c r="N152" s="7">
        <f>IF(L152="","",IF(K152="THB",L152,L152*IFERROR(VLOOKUP(K152,ตั้งค่า!$A$4:$B$10,2,FALSE),0)))</f>
        <v/>
      </c>
      <c r="O152" s="7">
        <f>IF(N152="","",N152*M152)</f>
        <v/>
      </c>
      <c r="P152" s="5" t="n"/>
    </row>
    <row r="153">
      <c r="A153" s="4">
        <f>IF(C153="","",ROW()-4)</f>
        <v/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inlineStr">
        <is>
          <t>THB</t>
        </is>
      </c>
      <c r="L153" s="6" t="n"/>
      <c r="M153" s="5" t="n">
        <v>1</v>
      </c>
      <c r="N153" s="7">
        <f>IF(L153="","",IF(K153="THB",L153,L153*IFERROR(VLOOKUP(K153,ตั้งค่า!$A$4:$B$10,2,FALSE),0)))</f>
        <v/>
      </c>
      <c r="O153" s="7">
        <f>IF(N153="","",N153*M153)</f>
        <v/>
      </c>
      <c r="P153" s="5" t="n"/>
    </row>
    <row r="154">
      <c r="A154" s="4">
        <f>IF(C154="","",ROW()-4)</f>
        <v/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inlineStr">
        <is>
          <t>THB</t>
        </is>
      </c>
      <c r="L154" s="6" t="n"/>
      <c r="M154" s="5" t="n">
        <v>1</v>
      </c>
      <c r="N154" s="7">
        <f>IF(L154="","",IF(K154="THB",L154,L154*IFERROR(VLOOKUP(K154,ตั้งค่า!$A$4:$B$10,2,FALSE),0)))</f>
        <v/>
      </c>
      <c r="O154" s="7">
        <f>IF(N154="","",N154*M154)</f>
        <v/>
      </c>
      <c r="P154" s="5" t="n"/>
    </row>
    <row r="155">
      <c r="A155" s="4">
        <f>IF(C155="","",ROW()-4)</f>
        <v/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inlineStr">
        <is>
          <t>THB</t>
        </is>
      </c>
      <c r="L155" s="6" t="n"/>
      <c r="M155" s="5" t="n">
        <v>1</v>
      </c>
      <c r="N155" s="7">
        <f>IF(L155="","",IF(K155="THB",L155,L155*IFERROR(VLOOKUP(K155,ตั้งค่า!$A$4:$B$10,2,FALSE),0)))</f>
        <v/>
      </c>
      <c r="O155" s="7">
        <f>IF(N155="","",N155*M155)</f>
        <v/>
      </c>
      <c r="P155" s="5" t="n"/>
    </row>
    <row r="156">
      <c r="A156" s="4">
        <f>IF(C156="","",ROW()-4)</f>
        <v/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inlineStr">
        <is>
          <t>THB</t>
        </is>
      </c>
      <c r="L156" s="6" t="n"/>
      <c r="M156" s="5" t="n">
        <v>1</v>
      </c>
      <c r="N156" s="7">
        <f>IF(L156="","",IF(K156="THB",L156,L156*IFERROR(VLOOKUP(K156,ตั้งค่า!$A$4:$B$10,2,FALSE),0)))</f>
        <v/>
      </c>
      <c r="O156" s="7">
        <f>IF(N156="","",N156*M156)</f>
        <v/>
      </c>
      <c r="P156" s="5" t="n"/>
    </row>
    <row r="157">
      <c r="A157" s="4">
        <f>IF(C157="","",ROW()-4)</f>
        <v/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inlineStr">
        <is>
          <t>THB</t>
        </is>
      </c>
      <c r="L157" s="6" t="n"/>
      <c r="M157" s="5" t="n">
        <v>1</v>
      </c>
      <c r="N157" s="7">
        <f>IF(L157="","",IF(K157="THB",L157,L157*IFERROR(VLOOKUP(K157,ตั้งค่า!$A$4:$B$10,2,FALSE),0)))</f>
        <v/>
      </c>
      <c r="O157" s="7">
        <f>IF(N157="","",N157*M157)</f>
        <v/>
      </c>
      <c r="P157" s="5" t="n"/>
    </row>
    <row r="158">
      <c r="A158" s="4">
        <f>IF(C158="","",ROW()-4)</f>
        <v/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inlineStr">
        <is>
          <t>THB</t>
        </is>
      </c>
      <c r="L158" s="6" t="n"/>
      <c r="M158" s="5" t="n">
        <v>1</v>
      </c>
      <c r="N158" s="7">
        <f>IF(L158="","",IF(K158="THB",L158,L158*IFERROR(VLOOKUP(K158,ตั้งค่า!$A$4:$B$10,2,FALSE),0)))</f>
        <v/>
      </c>
      <c r="O158" s="7">
        <f>IF(N158="","",N158*M158)</f>
        <v/>
      </c>
      <c r="P158" s="5" t="n"/>
    </row>
    <row r="159">
      <c r="A159" s="4">
        <f>IF(C159="","",ROW()-4)</f>
        <v/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inlineStr">
        <is>
          <t>THB</t>
        </is>
      </c>
      <c r="L159" s="6" t="n"/>
      <c r="M159" s="5" t="n">
        <v>1</v>
      </c>
      <c r="N159" s="7">
        <f>IF(L159="","",IF(K159="THB",L159,L159*IFERROR(VLOOKUP(K159,ตั้งค่า!$A$4:$B$10,2,FALSE),0)))</f>
        <v/>
      </c>
      <c r="O159" s="7">
        <f>IF(N159="","",N159*M159)</f>
        <v/>
      </c>
      <c r="P159" s="5" t="n"/>
    </row>
    <row r="160">
      <c r="A160" s="4">
        <f>IF(C160="","",ROW()-4)</f>
        <v/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inlineStr">
        <is>
          <t>THB</t>
        </is>
      </c>
      <c r="L160" s="6" t="n"/>
      <c r="M160" s="5" t="n">
        <v>1</v>
      </c>
      <c r="N160" s="7">
        <f>IF(L160="","",IF(K160="THB",L160,L160*IFERROR(VLOOKUP(K160,ตั้งค่า!$A$4:$B$10,2,FALSE),0)))</f>
        <v/>
      </c>
      <c r="O160" s="7">
        <f>IF(N160="","",N160*M160)</f>
        <v/>
      </c>
      <c r="P160" s="5" t="n"/>
    </row>
    <row r="161">
      <c r="A161" s="4">
        <f>IF(C161="","",ROW()-4)</f>
        <v/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inlineStr">
        <is>
          <t>THB</t>
        </is>
      </c>
      <c r="L161" s="6" t="n"/>
      <c r="M161" s="5" t="n">
        <v>1</v>
      </c>
      <c r="N161" s="7">
        <f>IF(L161="","",IF(K161="THB",L161,L161*IFERROR(VLOOKUP(K161,ตั้งค่า!$A$4:$B$10,2,FALSE),0)))</f>
        <v/>
      </c>
      <c r="O161" s="7">
        <f>IF(N161="","",N161*M161)</f>
        <v/>
      </c>
      <c r="P161" s="5" t="n"/>
    </row>
    <row r="162">
      <c r="A162" s="4">
        <f>IF(C162="","",ROW()-4)</f>
        <v/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inlineStr">
        <is>
          <t>THB</t>
        </is>
      </c>
      <c r="L162" s="6" t="n"/>
      <c r="M162" s="5" t="n">
        <v>1</v>
      </c>
      <c r="N162" s="7">
        <f>IF(L162="","",IF(K162="THB",L162,L162*IFERROR(VLOOKUP(K162,ตั้งค่า!$A$4:$B$10,2,FALSE),0)))</f>
        <v/>
      </c>
      <c r="O162" s="7">
        <f>IF(N162="","",N162*M162)</f>
        <v/>
      </c>
      <c r="P162" s="5" t="n"/>
    </row>
    <row r="163">
      <c r="A163" s="4">
        <f>IF(C163="","",ROW()-4)</f>
        <v/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inlineStr">
        <is>
          <t>THB</t>
        </is>
      </c>
      <c r="L163" s="6" t="n"/>
      <c r="M163" s="5" t="n">
        <v>1</v>
      </c>
      <c r="N163" s="7">
        <f>IF(L163="","",IF(K163="THB",L163,L163*IFERROR(VLOOKUP(K163,ตั้งค่า!$A$4:$B$10,2,FALSE),0)))</f>
        <v/>
      </c>
      <c r="O163" s="7">
        <f>IF(N163="","",N163*M163)</f>
        <v/>
      </c>
      <c r="P163" s="5" t="n"/>
    </row>
    <row r="164">
      <c r="A164" s="4">
        <f>IF(C164="","",ROW()-4)</f>
        <v/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inlineStr">
        <is>
          <t>THB</t>
        </is>
      </c>
      <c r="L164" s="6" t="n"/>
      <c r="M164" s="5" t="n">
        <v>1</v>
      </c>
      <c r="N164" s="7">
        <f>IF(L164="","",IF(K164="THB",L164,L164*IFERROR(VLOOKUP(K164,ตั้งค่า!$A$4:$B$10,2,FALSE),0)))</f>
        <v/>
      </c>
      <c r="O164" s="7">
        <f>IF(N164="","",N164*M164)</f>
        <v/>
      </c>
      <c r="P164" s="5" t="n"/>
    </row>
    <row r="165">
      <c r="A165" s="4">
        <f>IF(C165="","",ROW()-4)</f>
        <v/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inlineStr">
        <is>
          <t>THB</t>
        </is>
      </c>
      <c r="L165" s="6" t="n"/>
      <c r="M165" s="5" t="n">
        <v>1</v>
      </c>
      <c r="N165" s="7">
        <f>IF(L165="","",IF(K165="THB",L165,L165*IFERROR(VLOOKUP(K165,ตั้งค่า!$A$4:$B$10,2,FALSE),0)))</f>
        <v/>
      </c>
      <c r="O165" s="7">
        <f>IF(N165="","",N165*M165)</f>
        <v/>
      </c>
      <c r="P165" s="5" t="n"/>
    </row>
    <row r="166">
      <c r="A166" s="4">
        <f>IF(C166="","",ROW()-4)</f>
        <v/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inlineStr">
        <is>
          <t>THB</t>
        </is>
      </c>
      <c r="L166" s="6" t="n"/>
      <c r="M166" s="5" t="n">
        <v>1</v>
      </c>
      <c r="N166" s="7">
        <f>IF(L166="","",IF(K166="THB",L166,L166*IFERROR(VLOOKUP(K166,ตั้งค่า!$A$4:$B$10,2,FALSE),0)))</f>
        <v/>
      </c>
      <c r="O166" s="7">
        <f>IF(N166="","",N166*M166)</f>
        <v/>
      </c>
      <c r="P166" s="5" t="n"/>
    </row>
    <row r="167">
      <c r="A167" s="4">
        <f>IF(C167="","",ROW()-4)</f>
        <v/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inlineStr">
        <is>
          <t>THB</t>
        </is>
      </c>
      <c r="L167" s="6" t="n"/>
      <c r="M167" s="5" t="n">
        <v>1</v>
      </c>
      <c r="N167" s="7">
        <f>IF(L167="","",IF(K167="THB",L167,L167*IFERROR(VLOOKUP(K167,ตั้งค่า!$A$4:$B$10,2,FALSE),0)))</f>
        <v/>
      </c>
      <c r="O167" s="7">
        <f>IF(N167="","",N167*M167)</f>
        <v/>
      </c>
      <c r="P167" s="5" t="n"/>
    </row>
    <row r="168">
      <c r="A168" s="4">
        <f>IF(C168="","",ROW()-4)</f>
        <v/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inlineStr">
        <is>
          <t>THB</t>
        </is>
      </c>
      <c r="L168" s="6" t="n"/>
      <c r="M168" s="5" t="n">
        <v>1</v>
      </c>
      <c r="N168" s="7">
        <f>IF(L168="","",IF(K168="THB",L168,L168*IFERROR(VLOOKUP(K168,ตั้งค่า!$A$4:$B$10,2,FALSE),0)))</f>
        <v/>
      </c>
      <c r="O168" s="7">
        <f>IF(N168="","",N168*M168)</f>
        <v/>
      </c>
      <c r="P168" s="5" t="n"/>
    </row>
    <row r="169">
      <c r="A169" s="4">
        <f>IF(C169="","",ROW()-4)</f>
        <v/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inlineStr">
        <is>
          <t>THB</t>
        </is>
      </c>
      <c r="L169" s="6" t="n"/>
      <c r="M169" s="5" t="n">
        <v>1</v>
      </c>
      <c r="N169" s="7">
        <f>IF(L169="","",IF(K169="THB",L169,L169*IFERROR(VLOOKUP(K169,ตั้งค่า!$A$4:$B$10,2,FALSE),0)))</f>
        <v/>
      </c>
      <c r="O169" s="7">
        <f>IF(N169="","",N169*M169)</f>
        <v/>
      </c>
      <c r="P169" s="5" t="n"/>
    </row>
    <row r="170">
      <c r="A170" s="4">
        <f>IF(C170="","",ROW()-4)</f>
        <v/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inlineStr">
        <is>
          <t>THB</t>
        </is>
      </c>
      <c r="L170" s="6" t="n"/>
      <c r="M170" s="5" t="n">
        <v>1</v>
      </c>
      <c r="N170" s="7">
        <f>IF(L170="","",IF(K170="THB",L170,L170*IFERROR(VLOOKUP(K170,ตั้งค่า!$A$4:$B$10,2,FALSE),0)))</f>
        <v/>
      </c>
      <c r="O170" s="7">
        <f>IF(N170="","",N170*M170)</f>
        <v/>
      </c>
      <c r="P170" s="5" t="n"/>
    </row>
    <row r="171">
      <c r="A171" s="4">
        <f>IF(C171="","",ROW()-4)</f>
        <v/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inlineStr">
        <is>
          <t>THB</t>
        </is>
      </c>
      <c r="L171" s="6" t="n"/>
      <c r="M171" s="5" t="n">
        <v>1</v>
      </c>
      <c r="N171" s="7">
        <f>IF(L171="","",IF(K171="THB",L171,L171*IFERROR(VLOOKUP(K171,ตั้งค่า!$A$4:$B$10,2,FALSE),0)))</f>
        <v/>
      </c>
      <c r="O171" s="7">
        <f>IF(N171="","",N171*M171)</f>
        <v/>
      </c>
      <c r="P171" s="5" t="n"/>
    </row>
    <row r="172">
      <c r="A172" s="4">
        <f>IF(C172="","",ROW()-4)</f>
        <v/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inlineStr">
        <is>
          <t>THB</t>
        </is>
      </c>
      <c r="L172" s="6" t="n"/>
      <c r="M172" s="5" t="n">
        <v>1</v>
      </c>
      <c r="N172" s="7">
        <f>IF(L172="","",IF(K172="THB",L172,L172*IFERROR(VLOOKUP(K172,ตั้งค่า!$A$4:$B$10,2,FALSE),0)))</f>
        <v/>
      </c>
      <c r="O172" s="7">
        <f>IF(N172="","",N172*M172)</f>
        <v/>
      </c>
      <c r="P172" s="5" t="n"/>
    </row>
    <row r="173">
      <c r="A173" s="4">
        <f>IF(C173="","",ROW()-4)</f>
        <v/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inlineStr">
        <is>
          <t>THB</t>
        </is>
      </c>
      <c r="L173" s="6" t="n"/>
      <c r="M173" s="5" t="n">
        <v>1</v>
      </c>
      <c r="N173" s="7">
        <f>IF(L173="","",IF(K173="THB",L173,L173*IFERROR(VLOOKUP(K173,ตั้งค่า!$A$4:$B$10,2,FALSE),0)))</f>
        <v/>
      </c>
      <c r="O173" s="7">
        <f>IF(N173="","",N173*M173)</f>
        <v/>
      </c>
      <c r="P173" s="5" t="n"/>
    </row>
    <row r="174">
      <c r="A174" s="4">
        <f>IF(C174="","",ROW()-4)</f>
        <v/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inlineStr">
        <is>
          <t>THB</t>
        </is>
      </c>
      <c r="L174" s="6" t="n"/>
      <c r="M174" s="5" t="n">
        <v>1</v>
      </c>
      <c r="N174" s="7">
        <f>IF(L174="","",IF(K174="THB",L174,L174*IFERROR(VLOOKUP(K174,ตั้งค่า!$A$4:$B$10,2,FALSE),0)))</f>
        <v/>
      </c>
      <c r="O174" s="7">
        <f>IF(N174="","",N174*M174)</f>
        <v/>
      </c>
      <c r="P174" s="5" t="n"/>
    </row>
    <row r="175">
      <c r="A175" s="4">
        <f>IF(C175="","",ROW()-4)</f>
        <v/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inlineStr">
        <is>
          <t>THB</t>
        </is>
      </c>
      <c r="L175" s="6" t="n"/>
      <c r="M175" s="5" t="n">
        <v>1</v>
      </c>
      <c r="N175" s="7">
        <f>IF(L175="","",IF(K175="THB",L175,L175*IFERROR(VLOOKUP(K175,ตั้งค่า!$A$4:$B$10,2,FALSE),0)))</f>
        <v/>
      </c>
      <c r="O175" s="7">
        <f>IF(N175="","",N175*M175)</f>
        <v/>
      </c>
      <c r="P175" s="5" t="n"/>
    </row>
    <row r="176">
      <c r="A176" s="4">
        <f>IF(C176="","",ROW()-4)</f>
        <v/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inlineStr">
        <is>
          <t>THB</t>
        </is>
      </c>
      <c r="L176" s="6" t="n"/>
      <c r="M176" s="5" t="n">
        <v>1</v>
      </c>
      <c r="N176" s="7">
        <f>IF(L176="","",IF(K176="THB",L176,L176*IFERROR(VLOOKUP(K176,ตั้งค่า!$A$4:$B$10,2,FALSE),0)))</f>
        <v/>
      </c>
      <c r="O176" s="7">
        <f>IF(N176="","",N176*M176)</f>
        <v/>
      </c>
      <c r="P176" s="5" t="n"/>
    </row>
    <row r="177">
      <c r="A177" s="4">
        <f>IF(C177="","",ROW()-4)</f>
        <v/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inlineStr">
        <is>
          <t>THB</t>
        </is>
      </c>
      <c r="L177" s="6" t="n"/>
      <c r="M177" s="5" t="n">
        <v>1</v>
      </c>
      <c r="N177" s="7">
        <f>IF(L177="","",IF(K177="THB",L177,L177*IFERROR(VLOOKUP(K177,ตั้งค่า!$A$4:$B$10,2,FALSE),0)))</f>
        <v/>
      </c>
      <c r="O177" s="7">
        <f>IF(N177="","",N177*M177)</f>
        <v/>
      </c>
      <c r="P177" s="5" t="n"/>
    </row>
    <row r="178">
      <c r="A178" s="4">
        <f>IF(C178="","",ROW()-4)</f>
        <v/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inlineStr">
        <is>
          <t>THB</t>
        </is>
      </c>
      <c r="L178" s="6" t="n"/>
      <c r="M178" s="5" t="n">
        <v>1</v>
      </c>
      <c r="N178" s="7">
        <f>IF(L178="","",IF(K178="THB",L178,L178*IFERROR(VLOOKUP(K178,ตั้งค่า!$A$4:$B$10,2,FALSE),0)))</f>
        <v/>
      </c>
      <c r="O178" s="7">
        <f>IF(N178="","",N178*M178)</f>
        <v/>
      </c>
      <c r="P178" s="5" t="n"/>
    </row>
    <row r="179">
      <c r="A179" s="4">
        <f>IF(C179="","",ROW()-4)</f>
        <v/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inlineStr">
        <is>
          <t>THB</t>
        </is>
      </c>
      <c r="L179" s="6" t="n"/>
      <c r="M179" s="5" t="n">
        <v>1</v>
      </c>
      <c r="N179" s="7">
        <f>IF(L179="","",IF(K179="THB",L179,L179*IFERROR(VLOOKUP(K179,ตั้งค่า!$A$4:$B$10,2,FALSE),0)))</f>
        <v/>
      </c>
      <c r="O179" s="7">
        <f>IF(N179="","",N179*M179)</f>
        <v/>
      </c>
      <c r="P179" s="5" t="n"/>
    </row>
    <row r="180">
      <c r="A180" s="4">
        <f>IF(C180="","",ROW()-4)</f>
        <v/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inlineStr">
        <is>
          <t>THB</t>
        </is>
      </c>
      <c r="L180" s="6" t="n"/>
      <c r="M180" s="5" t="n">
        <v>1</v>
      </c>
      <c r="N180" s="7">
        <f>IF(L180="","",IF(K180="THB",L180,L180*IFERROR(VLOOKUP(K180,ตั้งค่า!$A$4:$B$10,2,FALSE),0)))</f>
        <v/>
      </c>
      <c r="O180" s="7">
        <f>IF(N180="","",N180*M180)</f>
        <v/>
      </c>
      <c r="P180" s="5" t="n"/>
    </row>
    <row r="181">
      <c r="A181" s="4">
        <f>IF(C181="","",ROW()-4)</f>
        <v/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inlineStr">
        <is>
          <t>THB</t>
        </is>
      </c>
      <c r="L181" s="6" t="n"/>
      <c r="M181" s="5" t="n">
        <v>1</v>
      </c>
      <c r="N181" s="7">
        <f>IF(L181="","",IF(K181="THB",L181,L181*IFERROR(VLOOKUP(K181,ตั้งค่า!$A$4:$B$10,2,FALSE),0)))</f>
        <v/>
      </c>
      <c r="O181" s="7">
        <f>IF(N181="","",N181*M181)</f>
        <v/>
      </c>
      <c r="P181" s="5" t="n"/>
    </row>
    <row r="182">
      <c r="A182" s="4">
        <f>IF(C182="","",ROW()-4)</f>
        <v/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inlineStr">
        <is>
          <t>THB</t>
        </is>
      </c>
      <c r="L182" s="6" t="n"/>
      <c r="M182" s="5" t="n">
        <v>1</v>
      </c>
      <c r="N182" s="7">
        <f>IF(L182="","",IF(K182="THB",L182,L182*IFERROR(VLOOKUP(K182,ตั้งค่า!$A$4:$B$10,2,FALSE),0)))</f>
        <v/>
      </c>
      <c r="O182" s="7">
        <f>IF(N182="","",N182*M182)</f>
        <v/>
      </c>
      <c r="P182" s="5" t="n"/>
    </row>
    <row r="183">
      <c r="A183" s="4">
        <f>IF(C183="","",ROW()-4)</f>
        <v/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inlineStr">
        <is>
          <t>THB</t>
        </is>
      </c>
      <c r="L183" s="6" t="n"/>
      <c r="M183" s="5" t="n">
        <v>1</v>
      </c>
      <c r="N183" s="7">
        <f>IF(L183="","",IF(K183="THB",L183,L183*IFERROR(VLOOKUP(K183,ตั้งค่า!$A$4:$B$10,2,FALSE),0)))</f>
        <v/>
      </c>
      <c r="O183" s="7">
        <f>IF(N183="","",N183*M183)</f>
        <v/>
      </c>
      <c r="P183" s="5" t="n"/>
    </row>
    <row r="184">
      <c r="A184" s="4">
        <f>IF(C184="","",ROW()-4)</f>
        <v/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inlineStr">
        <is>
          <t>THB</t>
        </is>
      </c>
      <c r="L184" s="6" t="n"/>
      <c r="M184" s="5" t="n">
        <v>1</v>
      </c>
      <c r="N184" s="7">
        <f>IF(L184="","",IF(K184="THB",L184,L184*IFERROR(VLOOKUP(K184,ตั้งค่า!$A$4:$B$10,2,FALSE),0)))</f>
        <v/>
      </c>
      <c r="O184" s="7">
        <f>IF(N184="","",N184*M184)</f>
        <v/>
      </c>
      <c r="P184" s="5" t="n"/>
    </row>
    <row r="185">
      <c r="A185" s="4">
        <f>IF(C185="","",ROW()-4)</f>
        <v/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inlineStr">
        <is>
          <t>THB</t>
        </is>
      </c>
      <c r="L185" s="6" t="n"/>
      <c r="M185" s="5" t="n">
        <v>1</v>
      </c>
      <c r="N185" s="7">
        <f>IF(L185="","",IF(K185="THB",L185,L185*IFERROR(VLOOKUP(K185,ตั้งค่า!$A$4:$B$10,2,FALSE),0)))</f>
        <v/>
      </c>
      <c r="O185" s="7">
        <f>IF(N185="","",N185*M185)</f>
        <v/>
      </c>
      <c r="P185" s="5" t="n"/>
    </row>
    <row r="186">
      <c r="A186" s="4">
        <f>IF(C186="","",ROW()-4)</f>
        <v/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inlineStr">
        <is>
          <t>THB</t>
        </is>
      </c>
      <c r="L186" s="6" t="n"/>
      <c r="M186" s="5" t="n">
        <v>1</v>
      </c>
      <c r="N186" s="7">
        <f>IF(L186="","",IF(K186="THB",L186,L186*IFERROR(VLOOKUP(K186,ตั้งค่า!$A$4:$B$10,2,FALSE),0)))</f>
        <v/>
      </c>
      <c r="O186" s="7">
        <f>IF(N186="","",N186*M186)</f>
        <v/>
      </c>
      <c r="P186" s="5" t="n"/>
    </row>
    <row r="187">
      <c r="A187" s="4">
        <f>IF(C187="","",ROW()-4)</f>
        <v/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inlineStr">
        <is>
          <t>THB</t>
        </is>
      </c>
      <c r="L187" s="6" t="n"/>
      <c r="M187" s="5" t="n">
        <v>1</v>
      </c>
      <c r="N187" s="7">
        <f>IF(L187="","",IF(K187="THB",L187,L187*IFERROR(VLOOKUP(K187,ตั้งค่า!$A$4:$B$10,2,FALSE),0)))</f>
        <v/>
      </c>
      <c r="O187" s="7">
        <f>IF(N187="","",N187*M187)</f>
        <v/>
      </c>
      <c r="P187" s="5" t="n"/>
    </row>
    <row r="188">
      <c r="A188" s="4">
        <f>IF(C188="","",ROW()-4)</f>
        <v/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inlineStr">
        <is>
          <t>THB</t>
        </is>
      </c>
      <c r="L188" s="6" t="n"/>
      <c r="M188" s="5" t="n">
        <v>1</v>
      </c>
      <c r="N188" s="7">
        <f>IF(L188="","",IF(K188="THB",L188,L188*IFERROR(VLOOKUP(K188,ตั้งค่า!$A$4:$B$10,2,FALSE),0)))</f>
        <v/>
      </c>
      <c r="O188" s="7">
        <f>IF(N188="","",N188*M188)</f>
        <v/>
      </c>
      <c r="P188" s="5" t="n"/>
    </row>
    <row r="189">
      <c r="A189" s="4">
        <f>IF(C189="","",ROW()-4)</f>
        <v/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inlineStr">
        <is>
          <t>THB</t>
        </is>
      </c>
      <c r="L189" s="6" t="n"/>
      <c r="M189" s="5" t="n">
        <v>1</v>
      </c>
      <c r="N189" s="7">
        <f>IF(L189="","",IF(K189="THB",L189,L189*IFERROR(VLOOKUP(K189,ตั้งค่า!$A$4:$B$10,2,FALSE),0)))</f>
        <v/>
      </c>
      <c r="O189" s="7">
        <f>IF(N189="","",N189*M189)</f>
        <v/>
      </c>
      <c r="P189" s="5" t="n"/>
    </row>
    <row r="190">
      <c r="A190" s="4">
        <f>IF(C190="","",ROW()-4)</f>
        <v/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inlineStr">
        <is>
          <t>THB</t>
        </is>
      </c>
      <c r="L190" s="6" t="n"/>
      <c r="M190" s="5" t="n">
        <v>1</v>
      </c>
      <c r="N190" s="7">
        <f>IF(L190="","",IF(K190="THB",L190,L190*IFERROR(VLOOKUP(K190,ตั้งค่า!$A$4:$B$10,2,FALSE),0)))</f>
        <v/>
      </c>
      <c r="O190" s="7">
        <f>IF(N190="","",N190*M190)</f>
        <v/>
      </c>
      <c r="P190" s="5" t="n"/>
    </row>
    <row r="191">
      <c r="A191" s="4">
        <f>IF(C191="","",ROW()-4)</f>
        <v/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inlineStr">
        <is>
          <t>THB</t>
        </is>
      </c>
      <c r="L191" s="6" t="n"/>
      <c r="M191" s="5" t="n">
        <v>1</v>
      </c>
      <c r="N191" s="7">
        <f>IF(L191="","",IF(K191="THB",L191,L191*IFERROR(VLOOKUP(K191,ตั้งค่า!$A$4:$B$10,2,FALSE),0)))</f>
        <v/>
      </c>
      <c r="O191" s="7">
        <f>IF(N191="","",N191*M191)</f>
        <v/>
      </c>
      <c r="P191" s="5" t="n"/>
    </row>
    <row r="192">
      <c r="A192" s="4">
        <f>IF(C192="","",ROW()-4)</f>
        <v/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inlineStr">
        <is>
          <t>THB</t>
        </is>
      </c>
      <c r="L192" s="6" t="n"/>
      <c r="M192" s="5" t="n">
        <v>1</v>
      </c>
      <c r="N192" s="7">
        <f>IF(L192="","",IF(K192="THB",L192,L192*IFERROR(VLOOKUP(K192,ตั้งค่า!$A$4:$B$10,2,FALSE),0)))</f>
        <v/>
      </c>
      <c r="O192" s="7">
        <f>IF(N192="","",N192*M192)</f>
        <v/>
      </c>
      <c r="P192" s="5" t="n"/>
    </row>
    <row r="193">
      <c r="A193" s="4">
        <f>IF(C193="","",ROW()-4)</f>
        <v/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inlineStr">
        <is>
          <t>THB</t>
        </is>
      </c>
      <c r="L193" s="6" t="n"/>
      <c r="M193" s="5" t="n">
        <v>1</v>
      </c>
      <c r="N193" s="7">
        <f>IF(L193="","",IF(K193="THB",L193,L193*IFERROR(VLOOKUP(K193,ตั้งค่า!$A$4:$B$10,2,FALSE),0)))</f>
        <v/>
      </c>
      <c r="O193" s="7">
        <f>IF(N193="","",N193*M193)</f>
        <v/>
      </c>
      <c r="P193" s="5" t="n"/>
    </row>
    <row r="194">
      <c r="A194" s="4">
        <f>IF(C194="","",ROW()-4)</f>
        <v/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inlineStr">
        <is>
          <t>THB</t>
        </is>
      </c>
      <c r="L194" s="6" t="n"/>
      <c r="M194" s="5" t="n">
        <v>1</v>
      </c>
      <c r="N194" s="7">
        <f>IF(L194="","",IF(K194="THB",L194,L194*IFERROR(VLOOKUP(K194,ตั้งค่า!$A$4:$B$10,2,FALSE),0)))</f>
        <v/>
      </c>
      <c r="O194" s="7">
        <f>IF(N194="","",N194*M194)</f>
        <v/>
      </c>
      <c r="P194" s="5" t="n"/>
    </row>
    <row r="195">
      <c r="A195" s="4">
        <f>IF(C195="","",ROW()-4)</f>
        <v/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inlineStr">
        <is>
          <t>THB</t>
        </is>
      </c>
      <c r="L195" s="6" t="n"/>
      <c r="M195" s="5" t="n">
        <v>1</v>
      </c>
      <c r="N195" s="7">
        <f>IF(L195="","",IF(K195="THB",L195,L195*IFERROR(VLOOKUP(K195,ตั้งค่า!$A$4:$B$10,2,FALSE),0)))</f>
        <v/>
      </c>
      <c r="O195" s="7">
        <f>IF(N195="","",N195*M195)</f>
        <v/>
      </c>
      <c r="P195" s="5" t="n"/>
    </row>
    <row r="196">
      <c r="A196" s="4">
        <f>IF(C196="","",ROW()-4)</f>
        <v/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inlineStr">
        <is>
          <t>THB</t>
        </is>
      </c>
      <c r="L196" s="6" t="n"/>
      <c r="M196" s="5" t="n">
        <v>1</v>
      </c>
      <c r="N196" s="7">
        <f>IF(L196="","",IF(K196="THB",L196,L196*IFERROR(VLOOKUP(K196,ตั้งค่า!$A$4:$B$10,2,FALSE),0)))</f>
        <v/>
      </c>
      <c r="O196" s="7">
        <f>IF(N196="","",N196*M196)</f>
        <v/>
      </c>
      <c r="P196" s="5" t="n"/>
    </row>
    <row r="197">
      <c r="A197" s="4">
        <f>IF(C197="","",ROW()-4)</f>
        <v/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inlineStr">
        <is>
          <t>THB</t>
        </is>
      </c>
      <c r="L197" s="6" t="n"/>
      <c r="M197" s="5" t="n">
        <v>1</v>
      </c>
      <c r="N197" s="7">
        <f>IF(L197="","",IF(K197="THB",L197,L197*IFERROR(VLOOKUP(K197,ตั้งค่า!$A$4:$B$10,2,FALSE),0)))</f>
        <v/>
      </c>
      <c r="O197" s="7">
        <f>IF(N197="","",N197*M197)</f>
        <v/>
      </c>
      <c r="P197" s="5" t="n"/>
    </row>
    <row r="198">
      <c r="A198" s="4">
        <f>IF(C198="","",ROW()-4)</f>
        <v/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inlineStr">
        <is>
          <t>THB</t>
        </is>
      </c>
      <c r="L198" s="6" t="n"/>
      <c r="M198" s="5" t="n">
        <v>1</v>
      </c>
      <c r="N198" s="7">
        <f>IF(L198="","",IF(K198="THB",L198,L198*IFERROR(VLOOKUP(K198,ตั้งค่า!$A$4:$B$10,2,FALSE),0)))</f>
        <v/>
      </c>
      <c r="O198" s="7">
        <f>IF(N198="","",N198*M198)</f>
        <v/>
      </c>
      <c r="P198" s="5" t="n"/>
    </row>
    <row r="199">
      <c r="A199" s="4">
        <f>IF(C199="","",ROW()-4)</f>
        <v/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inlineStr">
        <is>
          <t>THB</t>
        </is>
      </c>
      <c r="L199" s="6" t="n"/>
      <c r="M199" s="5" t="n">
        <v>1</v>
      </c>
      <c r="N199" s="7">
        <f>IF(L199="","",IF(K199="THB",L199,L199*IFERROR(VLOOKUP(K199,ตั้งค่า!$A$4:$B$10,2,FALSE),0)))</f>
        <v/>
      </c>
      <c r="O199" s="7">
        <f>IF(N199="","",N199*M199)</f>
        <v/>
      </c>
      <c r="P199" s="5" t="n"/>
    </row>
    <row r="200">
      <c r="A200" s="4">
        <f>IF(C200="","",ROW()-4)</f>
        <v/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inlineStr">
        <is>
          <t>THB</t>
        </is>
      </c>
      <c r="L200" s="6" t="n"/>
      <c r="M200" s="5" t="n">
        <v>1</v>
      </c>
      <c r="N200" s="7">
        <f>IF(L200="","",IF(K200="THB",L200,L200*IFERROR(VLOOKUP(K200,ตั้งค่า!$A$4:$B$10,2,FALSE),0)))</f>
        <v/>
      </c>
      <c r="O200" s="7">
        <f>IF(N200="","",N200*M200)</f>
        <v/>
      </c>
      <c r="P200" s="5" t="n"/>
    </row>
    <row r="201">
      <c r="A201" s="4">
        <f>IF(C201="","",ROW()-4)</f>
        <v/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inlineStr">
        <is>
          <t>THB</t>
        </is>
      </c>
      <c r="L201" s="6" t="n"/>
      <c r="M201" s="5" t="n">
        <v>1</v>
      </c>
      <c r="N201" s="7">
        <f>IF(L201="","",IF(K201="THB",L201,L201*IFERROR(VLOOKUP(K201,ตั้งค่า!$A$4:$B$10,2,FALSE),0)))</f>
        <v/>
      </c>
      <c r="O201" s="7">
        <f>IF(N201="","",N201*M201)</f>
        <v/>
      </c>
      <c r="P201" s="5" t="n"/>
    </row>
    <row r="202">
      <c r="A202" s="4">
        <f>IF(C202="","",ROW()-4)</f>
        <v/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inlineStr">
        <is>
          <t>THB</t>
        </is>
      </c>
      <c r="L202" s="6" t="n"/>
      <c r="M202" s="5" t="n">
        <v>1</v>
      </c>
      <c r="N202" s="7">
        <f>IF(L202="","",IF(K202="THB",L202,L202*IFERROR(VLOOKUP(K202,ตั้งค่า!$A$4:$B$10,2,FALSE),0)))</f>
        <v/>
      </c>
      <c r="O202" s="7">
        <f>IF(N202="","",N202*M202)</f>
        <v/>
      </c>
      <c r="P202" s="5" t="n"/>
    </row>
    <row r="203">
      <c r="A203" s="4">
        <f>IF(C203="","",ROW()-4)</f>
        <v/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inlineStr">
        <is>
          <t>THB</t>
        </is>
      </c>
      <c r="L203" s="6" t="n"/>
      <c r="M203" s="5" t="n">
        <v>1</v>
      </c>
      <c r="N203" s="7">
        <f>IF(L203="","",IF(K203="THB",L203,L203*IFERROR(VLOOKUP(K203,ตั้งค่า!$A$4:$B$10,2,FALSE),0)))</f>
        <v/>
      </c>
      <c r="O203" s="7">
        <f>IF(N203="","",N203*M203)</f>
        <v/>
      </c>
      <c r="P203" s="5" t="n"/>
    </row>
    <row r="204">
      <c r="A204" s="4">
        <f>IF(C204="","",ROW()-4)</f>
        <v/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inlineStr">
        <is>
          <t>THB</t>
        </is>
      </c>
      <c r="L204" s="6" t="n"/>
      <c r="M204" s="5" t="n">
        <v>1</v>
      </c>
      <c r="N204" s="7">
        <f>IF(L204="","",IF(K204="THB",L204,L204*IFERROR(VLOOKUP(K204,ตั้งค่า!$A$4:$B$10,2,FALSE),0)))</f>
        <v/>
      </c>
      <c r="O204" s="7">
        <f>IF(N204="","",N204*M204)</f>
        <v/>
      </c>
      <c r="P204" s="5" t="n"/>
    </row>
    <row r="205">
      <c r="C205" s="8" t="inlineStr">
        <is>
          <t>รวมเป็นเงินทั้งสิ้น (ก่อนภาษีมูลค่าเพิ่ม ถ้าราคาที่กรอกยังไม่รวม)</t>
        </is>
      </c>
      <c r="O205" s="9">
        <f>SUM(O5:O204)</f>
        <v/>
      </c>
    </row>
  </sheetData>
  <dataValidations count="2">
    <dataValidation sqref="I5:I204" showDropDown="0" showInputMessage="0" showErrorMessage="0" allowBlank="1" type="list">
      <formula1>"ถาวร,รายปี"</formula1>
    </dataValidation>
    <dataValidation sqref="H5:H204" showDropDown="0" showInputMessage="0" showErrorMessage="0" allowBlank="1" type="list">
      <formula1>"หนังสือ,ฐานข้อมูล"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อัตราแลกเปลี่ยน (บาทต่อ 1 หน่วยสกุลเงิน) ตามอัตรา ธปท. ณ วันที่กำหนดราคากลาง</t>
        </is>
      </c>
    </row>
    <row r="3">
      <c r="A3" s="10" t="inlineStr">
        <is>
          <t>สกุลเงิน</t>
        </is>
      </c>
      <c r="B3" s="10" t="inlineStr">
        <is>
          <t>บาทต่อ 1 หน่วย</t>
        </is>
      </c>
    </row>
    <row r="4">
      <c r="A4" s="11" t="inlineStr">
        <is>
          <t>USD</t>
        </is>
      </c>
      <c r="B4" s="11" t="inlineStr"/>
    </row>
    <row r="5">
      <c r="A5" s="11" t="inlineStr">
        <is>
          <t>GBP</t>
        </is>
      </c>
      <c r="B5" s="11" t="inlineStr"/>
    </row>
    <row r="6">
      <c r="A6" s="11" t="inlineStr">
        <is>
          <t>EUR</t>
        </is>
      </c>
      <c r="B6" s="11" t="inlineStr"/>
    </row>
    <row r="7">
      <c r="A7" s="11" t="inlineStr"/>
      <c r="B7" s="11" t="inlineStr"/>
    </row>
    <row r="8">
      <c r="A8" s="11" t="inlineStr"/>
      <c r="B8" s="11" t="inlineStr"/>
    </row>
    <row r="9">
      <c r="A9" s="11" t="inlineStr"/>
      <c r="B9" s="11" t="inlineStr"/>
    </row>
    <row r="10">
      <c r="A10" s="11" t="inlineStr"/>
      <c r="B10" s="11" t="inlineStr"/>
    </row>
    <row r="12">
      <c r="A12" s="2" t="inlineStr">
        <is>
          <t>หมายเหตุ: ช่องอัตราว่าง = ระบบถือว่า 0 ต้องกรอกอัตราจริงก่อนใช้ตัวเลข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</cols>
  <sheetData>
    <row r="1">
      <c r="A1" s="1" t="inlineStr">
        <is>
          <t>สรุปตามสาขาวิชา</t>
        </is>
      </c>
    </row>
    <row r="3">
      <c r="A3" s="3" t="inlineStr">
        <is>
          <t>สาขาวิชา</t>
        </is>
      </c>
      <c r="B3" s="3" t="inlineStr">
        <is>
          <t>จำนวนรายการ</t>
        </is>
      </c>
      <c r="C3" s="3" t="inlineStr">
        <is>
          <t>รวมเป็นเงิน (บาท)</t>
        </is>
      </c>
    </row>
    <row r="4">
      <c r="A4" s="11" t="n"/>
      <c r="B4" s="12">
        <f>IF(A4="","",COUNTIF(รายการ!$B$5:$B$204,A4))</f>
        <v/>
      </c>
      <c r="C4" s="13">
        <f>IF(A4="","",SUMIF(รายการ!$B$5:$B$204,A4,รายการ!$O$5:$O$204))</f>
        <v/>
      </c>
    </row>
    <row r="5">
      <c r="A5" s="11" t="n"/>
      <c r="B5" s="12">
        <f>IF(A5="","",COUNTIF(รายการ!$B$5:$B$204,A5))</f>
        <v/>
      </c>
      <c r="C5" s="13">
        <f>IF(A5="","",SUMIF(รายการ!$B$5:$B$204,A5,รายการ!$O$5:$O$204))</f>
        <v/>
      </c>
    </row>
    <row r="6">
      <c r="A6" s="11" t="n"/>
      <c r="B6" s="12">
        <f>IF(A6="","",COUNTIF(รายการ!$B$5:$B$204,A6))</f>
        <v/>
      </c>
      <c r="C6" s="13">
        <f>IF(A6="","",SUMIF(รายการ!$B$5:$B$204,A6,รายการ!$O$5:$O$204))</f>
        <v/>
      </c>
    </row>
    <row r="7">
      <c r="A7" s="11" t="n"/>
      <c r="B7" s="12">
        <f>IF(A7="","",COUNTIF(รายการ!$B$5:$B$204,A7))</f>
        <v/>
      </c>
      <c r="C7" s="13">
        <f>IF(A7="","",SUMIF(รายการ!$B$5:$B$204,A7,รายการ!$O$5:$O$204))</f>
        <v/>
      </c>
    </row>
    <row r="8">
      <c r="A8" s="11" t="n"/>
      <c r="B8" s="12">
        <f>IF(A8="","",COUNTIF(รายการ!$B$5:$B$204,A8))</f>
        <v/>
      </c>
      <c r="C8" s="13">
        <f>IF(A8="","",SUMIF(รายการ!$B$5:$B$204,A8,รายการ!$O$5:$O$204))</f>
        <v/>
      </c>
    </row>
    <row r="9">
      <c r="A9" s="11" t="n"/>
      <c r="B9" s="12">
        <f>IF(A9="","",COUNTIF(รายการ!$B$5:$B$204,A9))</f>
        <v/>
      </c>
      <c r="C9" s="13">
        <f>IF(A9="","",SUMIF(รายการ!$B$5:$B$204,A9,รายการ!$O$5:$O$204))</f>
        <v/>
      </c>
    </row>
    <row r="10">
      <c r="A10" s="11" t="n"/>
      <c r="B10" s="12">
        <f>IF(A10="","",COUNTIF(รายการ!$B$5:$B$204,A10))</f>
        <v/>
      </c>
      <c r="C10" s="13">
        <f>IF(A10="","",SUMIF(รายการ!$B$5:$B$204,A10,รายการ!$O$5:$O$204))</f>
        <v/>
      </c>
    </row>
    <row r="11">
      <c r="A11" s="11" t="n"/>
      <c r="B11" s="12">
        <f>IF(A11="","",COUNTIF(รายการ!$B$5:$B$204,A11))</f>
        <v/>
      </c>
      <c r="C11" s="13">
        <f>IF(A11="","",SUMIF(รายการ!$B$5:$B$204,A11,รายการ!$O$5:$O$204))</f>
        <v/>
      </c>
    </row>
    <row r="12">
      <c r="A12" s="11" t="n"/>
      <c r="B12" s="12">
        <f>IF(A12="","",COUNTIF(รายการ!$B$5:$B$204,A12))</f>
        <v/>
      </c>
      <c r="C12" s="13">
        <f>IF(A12="","",SUMIF(รายการ!$B$5:$B$204,A12,รายการ!$O$5:$O$204))</f>
        <v/>
      </c>
    </row>
    <row r="13">
      <c r="A13" s="11" t="n"/>
      <c r="B13" s="12">
        <f>IF(A13="","",COUNTIF(รายการ!$B$5:$B$204,A13))</f>
        <v/>
      </c>
      <c r="C13" s="13">
        <f>IF(A13="","",SUMIF(รายการ!$B$5:$B$204,A13,รายการ!$O$5:$O$204))</f>
        <v/>
      </c>
    </row>
    <row r="14">
      <c r="A14" s="11" t="n"/>
      <c r="B14" s="12">
        <f>IF(A14="","",COUNTIF(รายการ!$B$5:$B$204,A14))</f>
        <v/>
      </c>
      <c r="C14" s="13">
        <f>IF(A14="","",SUMIF(รายการ!$B$5:$B$204,A14,รายการ!$O$5:$O$204))</f>
        <v/>
      </c>
    </row>
    <row r="15">
      <c r="A15" s="11" t="n"/>
      <c r="B15" s="12">
        <f>IF(A15="","",COUNTIF(รายการ!$B$5:$B$204,A15))</f>
        <v/>
      </c>
      <c r="C15" s="13">
        <f>IF(A15="","",SUMIF(รายการ!$B$5:$B$204,A15,รายการ!$O$5:$O$204))</f>
        <v/>
      </c>
    </row>
    <row r="16">
      <c r="A16" s="11" t="n"/>
      <c r="B16" s="12">
        <f>IF(A16="","",COUNTIF(รายการ!$B$5:$B$204,A16))</f>
        <v/>
      </c>
      <c r="C16" s="13">
        <f>IF(A16="","",SUMIF(รายการ!$B$5:$B$204,A16,รายการ!$O$5:$O$204))</f>
        <v/>
      </c>
    </row>
    <row r="17">
      <c r="A17" s="11" t="n"/>
      <c r="B17" s="12">
        <f>IF(A17="","",COUNTIF(รายการ!$B$5:$B$204,A17))</f>
        <v/>
      </c>
      <c r="C17" s="13">
        <f>IF(A17="","",SUMIF(รายการ!$B$5:$B$204,A17,รายการ!$O$5:$O$204))</f>
        <v/>
      </c>
    </row>
    <row r="18">
      <c r="A18" s="11" t="n"/>
      <c r="B18" s="12">
        <f>IF(A18="","",COUNTIF(รายการ!$B$5:$B$204,A18))</f>
        <v/>
      </c>
      <c r="C18" s="13">
        <f>IF(A18="","",SUMIF(รายการ!$B$5:$B$204,A18,รายการ!$O$5:$O$204))</f>
        <v/>
      </c>
    </row>
    <row r="19">
      <c r="A19" s="11" t="n"/>
      <c r="B19" s="12">
        <f>IF(A19="","",COUNTIF(รายการ!$B$5:$B$204,A19))</f>
        <v/>
      </c>
      <c r="C19" s="13">
        <f>IF(A19="","",SUMIF(รายการ!$B$5:$B$204,A19,รายการ!$O$5:$O$204))</f>
        <v/>
      </c>
    </row>
    <row r="20">
      <c r="A20" s="11" t="n"/>
      <c r="B20" s="12">
        <f>IF(A20="","",COUNTIF(รายการ!$B$5:$B$204,A20))</f>
        <v/>
      </c>
      <c r="C20" s="13">
        <f>IF(A20="","",SUMIF(รายการ!$B$5:$B$204,A20,รายการ!$O$5:$O$204))</f>
        <v/>
      </c>
    </row>
    <row r="21">
      <c r="A21" s="11" t="n"/>
      <c r="B21" s="12">
        <f>IF(A21="","",COUNTIF(รายการ!$B$5:$B$204,A21))</f>
        <v/>
      </c>
      <c r="C21" s="13">
        <f>IF(A21="","",SUMIF(รายการ!$B$5:$B$204,A21,รายการ!$O$5:$O$204))</f>
        <v/>
      </c>
    </row>
    <row r="22">
      <c r="A22" s="11" t="n"/>
      <c r="B22" s="12">
        <f>IF(A22="","",COUNTIF(รายการ!$B$5:$B$204,A22))</f>
        <v/>
      </c>
      <c r="C22" s="13">
        <f>IF(A22="","",SUMIF(รายการ!$B$5:$B$204,A22,รายการ!$O$5:$O$204))</f>
        <v/>
      </c>
    </row>
    <row r="23">
      <c r="A23" s="11" t="n"/>
      <c r="B23" s="12">
        <f>IF(A23="","",COUNTIF(รายการ!$B$5:$B$204,A23))</f>
        <v/>
      </c>
      <c r="C23" s="13">
        <f>IF(A23="","",SUMIF(รายการ!$B$5:$B$204,A23,รายการ!$O$5:$O$204))</f>
        <v/>
      </c>
    </row>
    <row r="24">
      <c r="A24" s="11" t="n"/>
      <c r="B24" s="12">
        <f>IF(A24="","",COUNTIF(รายการ!$B$5:$B$204,A24))</f>
        <v/>
      </c>
      <c r="C24" s="13">
        <f>IF(A24="","",SUMIF(รายการ!$B$5:$B$204,A24,รายการ!$O$5:$O$204))</f>
        <v/>
      </c>
    </row>
    <row r="25">
      <c r="A25" s="11" t="n"/>
      <c r="B25" s="12">
        <f>IF(A25="","",COUNTIF(รายการ!$B$5:$B$204,A25))</f>
        <v/>
      </c>
      <c r="C25" s="13">
        <f>IF(A25="","",SUMIF(รายการ!$B$5:$B$204,A25,รายการ!$O$5:$O$204))</f>
        <v/>
      </c>
    </row>
    <row r="26">
      <c r="A26" s="11" t="n"/>
      <c r="B26" s="12">
        <f>IF(A26="","",COUNTIF(รายการ!$B$5:$B$204,A26))</f>
        <v/>
      </c>
      <c r="C26" s="13">
        <f>IF(A26="","",SUMIF(รายการ!$B$5:$B$204,A26,รายการ!$O$5:$O$204))</f>
        <v/>
      </c>
    </row>
    <row r="27">
      <c r="A27" s="11" t="n"/>
      <c r="B27" s="12">
        <f>IF(A27="","",COUNTIF(รายการ!$B$5:$B$204,A27))</f>
        <v/>
      </c>
      <c r="C27" s="13">
        <f>IF(A27="","",SUMIF(รายการ!$B$5:$B$204,A27,รายการ!$O$5:$O$204))</f>
        <v/>
      </c>
    </row>
    <row r="28">
      <c r="A28" s="11" t="n"/>
      <c r="B28" s="12">
        <f>IF(A28="","",COUNTIF(รายการ!$B$5:$B$204,A28))</f>
        <v/>
      </c>
      <c r="C28" s="13">
        <f>IF(A28="","",SUMIF(รายการ!$B$5:$B$204,A28,รายการ!$O$5:$O$204))</f>
        <v/>
      </c>
    </row>
    <row r="29">
      <c r="A29" s="11" t="n"/>
      <c r="B29" s="12">
        <f>IF(A29="","",COUNTIF(รายการ!$B$5:$B$204,A29))</f>
        <v/>
      </c>
      <c r="C29" s="13">
        <f>IF(A29="","",SUMIF(รายการ!$B$5:$B$204,A29,รายการ!$O$5:$O$204))</f>
        <v/>
      </c>
    </row>
    <row r="30">
      <c r="A30" s="11" t="n"/>
      <c r="B30" s="12">
        <f>IF(A30="","",COUNTIF(รายการ!$B$5:$B$204,A30))</f>
        <v/>
      </c>
      <c r="C30" s="13">
        <f>IF(A30="","",SUMIF(รายการ!$B$5:$B$204,A30,รายการ!$O$5:$O$204))</f>
        <v/>
      </c>
    </row>
    <row r="31">
      <c r="A31" s="11" t="n"/>
      <c r="B31" s="12">
        <f>IF(A31="","",COUNTIF(รายการ!$B$5:$B$204,A31))</f>
        <v/>
      </c>
      <c r="C31" s="13">
        <f>IF(A31="","",SUMIF(รายการ!$B$5:$B$204,A31,รายการ!$O$5:$O$204))</f>
        <v/>
      </c>
    </row>
    <row r="32">
      <c r="A32" s="11" t="n"/>
      <c r="B32" s="12">
        <f>IF(A32="","",COUNTIF(รายการ!$B$5:$B$204,A32))</f>
        <v/>
      </c>
      <c r="C32" s="13">
        <f>IF(A32="","",SUMIF(รายการ!$B$5:$B$204,A32,รายการ!$O$5:$O$204))</f>
        <v/>
      </c>
    </row>
    <row r="33">
      <c r="A33" s="11" t="n"/>
      <c r="B33" s="12">
        <f>IF(A33="","",COUNTIF(รายการ!$B$5:$B$204,A33))</f>
        <v/>
      </c>
      <c r="C33" s="13">
        <f>IF(A33="","",SUMIF(รายการ!$B$5:$B$204,A33,รายการ!$O$5:$O$204))</f>
        <v/>
      </c>
    </row>
    <row r="35">
      <c r="A35" s="8" t="inlineStr">
        <is>
          <t>รวมทั้งหมด</t>
        </is>
      </c>
      <c r="B35" s="8">
        <f>SUM(B4:B33)</f>
        <v/>
      </c>
      <c r="C35" s="9">
        <f>SUM(C4:C33)</f>
        <v/>
      </c>
    </row>
    <row r="36">
      <c r="A36" s="2" t="inlineStr">
        <is>
          <t>พิมพ์ชื่อสาขาวิชาในคอลัมน์ A ให้ตรงกับที่กรอกในแผ่น 'รายการ'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2026-10-09T03:05:13Z</dcterms:created>
  <dcterms:modified xmlns:dcterms="http://purl.org/dc/terms/" xmlns:xsi="http://www.w3.org/2001/XMLSchema-instance" xsi:type="dcterms:W3CDTF">2026-10-09T03:05:13Z</dcterms:modified>
</cp:coreProperties>
</file>