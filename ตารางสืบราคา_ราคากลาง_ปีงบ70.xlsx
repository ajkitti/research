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สืบราคา" sheetId="1" state="visible" r:id="rId1"/>
    <sheet xmlns:r="http://schemas.openxmlformats.org/officeDocument/2006/relationships" name="ตั้งค่า" sheetId="2" state="visible" r:id="rId2"/>
    <sheet xmlns:r="http://schemas.openxmlformats.org/officeDocument/2006/relationships" name="ผู้ประกอบกา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sz val="16"/>
    </font>
    <font>
      <name val="TH Sarabun New"/>
      <sz val="14"/>
    </font>
    <font>
      <name val="TH Sarabun New"/>
      <color rgb="000000FF"/>
      <sz val="14"/>
    </font>
    <font>
      <name val="TH Sarabun New"/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4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1" pivotButton="0" quotePrefix="0" xfId="0"/>
    <xf numFmtId="0" fontId="3" fillId="2" borderId="1" pivotButton="0" quotePrefix="0" xfId="0"/>
    <xf numFmtId="9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9" customWidth="1" min="3" max="3"/>
    <col width="9" customWidth="1" min="4" max="4"/>
    <col width="12" customWidth="1" min="5" max="5"/>
    <col width="22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40" customWidth="1" min="15" max="15"/>
  </cols>
  <sheetData>
    <row r="1">
      <c r="A1" s="1" t="inlineStr">
        <is>
          <t>ตารางสืบราคาท้องตลาด โครงการจัดซื้อระบบเทคโนโลยีสารสนเทศ ศูนย์แพทยศาสตรศึกษา ปีงบประมาณ พ.ศ. 2570</t>
        </is>
      </c>
    </row>
    <row r="2">
      <c r="A2" s="2" t="inlineStr">
        <is>
          <t>กรอกราคาต่อหน่วยจากใบเสนอราคาของแต่ละราย (บาท, รวมภาษีมูลค่าเพิ่ม หรือไม่รวมให้ระบุให้ตรงกันทุกราย) ช่องสีเหลือง = กรอกเอง</t>
        </is>
      </c>
    </row>
    <row r="4" ht="48" customHeight="1">
      <c r="A4" s="3" t="inlineStr">
        <is>
          <t>ลำดับ</t>
        </is>
      </c>
      <c r="B4" s="3" t="inlineStr">
        <is>
          <t>รายการ</t>
        </is>
      </c>
      <c r="C4" s="3" t="inlineStr">
        <is>
          <t>จำนวน</t>
        </is>
      </c>
      <c r="D4" s="3" t="inlineStr">
        <is>
          <t>หน่วย</t>
        </is>
      </c>
      <c r="E4" s="3" t="inlineStr">
        <is>
          <t>ระยะเวลา</t>
        </is>
      </c>
      <c r="F4" s="3" t="inlineStr">
        <is>
          <t>ราคาอ้างอิงเบื้องต้น
(บาท ไม่ใช่ราคากลาง)</t>
        </is>
      </c>
      <c r="G4" s="3" t="inlineStr">
        <is>
          <t>ราคาต่อหน่วย
รายที่ 1</t>
        </is>
      </c>
      <c r="H4" s="3" t="inlineStr">
        <is>
          <t>ราคาต่อหน่วย
รายที่ 2</t>
        </is>
      </c>
      <c r="I4" s="3" t="inlineStr">
        <is>
          <t>ราคาต่อหน่วย
รายที่ 3</t>
        </is>
      </c>
      <c r="J4" s="3" t="inlineStr">
        <is>
          <t>ค่าเฉลี่ย</t>
        </is>
      </c>
      <c r="K4" s="3" t="inlineStr">
        <is>
          <t>ต่ำสุด</t>
        </is>
      </c>
      <c r="L4" s="3" t="inlineStr">
        <is>
          <t>สูงสุด</t>
        </is>
      </c>
      <c r="M4" s="3" t="inlineStr">
        <is>
          <t>ราคากลางที่เสนอ
ต่อหน่วย</t>
        </is>
      </c>
      <c r="N4" s="3" t="inlineStr">
        <is>
          <t>รวมเป็นเงิน</t>
        </is>
      </c>
      <c r="O4" s="3" t="inlineStr">
        <is>
          <t>หมายเหตุ</t>
        </is>
      </c>
    </row>
    <row r="5">
      <c r="A5" s="4" t="n">
        <v>1</v>
      </c>
      <c r="B5" s="5" t="inlineStr">
        <is>
          <t>AI พัฒนาสื่อการเรียนการสอน (ลิขสิทธิ์ 1 สิทธิ)</t>
        </is>
      </c>
      <c r="C5" s="4" t="n">
        <v>1</v>
      </c>
      <c r="D5" s="4" t="inlineStr">
        <is>
          <t>สิทธิ</t>
        </is>
      </c>
      <c r="E5" s="4" t="inlineStr">
        <is>
          <t>12 เดือน</t>
        </is>
      </c>
      <c r="F5" s="6">
        <f>120*ตั้งค่า!B3</f>
        <v/>
      </c>
      <c r="G5" s="7" t="n"/>
      <c r="H5" s="7" t="n"/>
      <c r="I5" s="7" t="n"/>
      <c r="J5" s="6">
        <f>IFERROR(AVERAGE(G5:I5),"")</f>
        <v/>
      </c>
      <c r="K5" s="6">
        <f>IF(COUNT(G5:I5)=0,"",MIN(G5:I5))</f>
        <v/>
      </c>
      <c r="L5" s="6">
        <f>IF(COUNT(G5:I5)=0,"",MAX(G5:I5))</f>
        <v/>
      </c>
      <c r="M5" s="6">
        <f>IF(J5="","",ROUND(J5,2))</f>
        <v/>
      </c>
      <c r="N5" s="6">
        <f>IF(M5="","",M5*C5)</f>
        <v/>
      </c>
      <c r="O5" s="5" t="inlineStr">
        <is>
          <t>ตัวอย่างอ้างอิง Canva Pro US$120/ปี</t>
        </is>
      </c>
    </row>
    <row r="6">
      <c r="A6" s="4" t="n">
        <v>2</v>
      </c>
      <c r="B6" s="5" t="inlineStr">
        <is>
          <t>Google Workspace (รวม AI ด้านวิชาการ) 1 ผู้ใช้</t>
        </is>
      </c>
      <c r="C6" s="4" t="n">
        <v>1</v>
      </c>
      <c r="D6" s="4" t="inlineStr">
        <is>
          <t>ผู้ใช้</t>
        </is>
      </c>
      <c r="E6" s="4" t="inlineStr">
        <is>
          <t>12 เดือน</t>
        </is>
      </c>
      <c r="F6" s="6">
        <f>14*12*ตั้งค่า!B3</f>
        <v/>
      </c>
      <c r="G6" s="7" t="n"/>
      <c r="H6" s="7" t="n"/>
      <c r="I6" s="7" t="n"/>
      <c r="J6" s="6">
        <f>IFERROR(AVERAGE(G6:I6),"")</f>
        <v/>
      </c>
      <c r="K6" s="6">
        <f>IF(COUNT(G6:I6)=0,"",MIN(G6:I6))</f>
        <v/>
      </c>
      <c r="L6" s="6">
        <f>IF(COUNT(G6:I6)=0,"",MAX(G6:I6))</f>
        <v/>
      </c>
      <c r="M6" s="6">
        <f>IF(J6="","",ROUND(J6,2))</f>
        <v/>
      </c>
      <c r="N6" s="6">
        <f>IF(M6="","",M6*C6)</f>
        <v/>
      </c>
      <c r="O6" s="5" t="inlineStr">
        <is>
          <t>อ้างอิง Business Standard US$14/ผู้ใช้/เดือน (ยังไม่ยืนยัน)</t>
        </is>
      </c>
    </row>
    <row r="7">
      <c r="A7" s="4" t="n">
        <v>3</v>
      </c>
      <c r="B7" s="5" t="inlineStr">
        <is>
          <t>จดทะเบียนชื่อโดเมน</t>
        </is>
      </c>
      <c r="C7" s="4" t="n">
        <v>1</v>
      </c>
      <c r="D7" s="4" t="inlineStr">
        <is>
          <t>ชื่อ</t>
        </is>
      </c>
      <c r="E7" s="4" t="inlineStr">
        <is>
          <t>1 ปี</t>
        </is>
      </c>
      <c r="F7" s="6" t="n">
        <v>800</v>
      </c>
      <c r="G7" s="7" t="n"/>
      <c r="H7" s="7" t="n"/>
      <c r="I7" s="7" t="n"/>
      <c r="J7" s="6">
        <f>IFERROR(AVERAGE(G7:I7),"")</f>
        <v/>
      </c>
      <c r="K7" s="6">
        <f>IF(COUNT(G7:I7)=0,"",MIN(G7:I7))</f>
        <v/>
      </c>
      <c r="L7" s="6">
        <f>IF(COUNT(G7:I7)=0,"",MAX(G7:I7))</f>
        <v/>
      </c>
      <c r="M7" s="6">
        <f>IF(J7="","",ROUND(J7,2))</f>
        <v/>
      </c>
      <c r="N7" s="6">
        <f>IF(M7="","",M7*C7)</f>
        <v/>
      </c>
      <c r="O7" s="5" t="inlineStr">
        <is>
          <t>อ้างอิง .or.th 800 บาท/ปี</t>
        </is>
      </c>
    </row>
    <row r="8">
      <c r="A8" s="4" t="n">
        <v>4</v>
      </c>
      <c r="B8" s="5" t="inlineStr">
        <is>
          <t>LINE Official Account (แผนที่เลือก)</t>
        </is>
      </c>
      <c r="C8" s="4" t="n">
        <v>1</v>
      </c>
      <c r="D8" s="4" t="inlineStr">
        <is>
          <t>บัญชี</t>
        </is>
      </c>
      <c r="E8" s="4" t="inlineStr">
        <is>
          <t>12 เดือน</t>
        </is>
      </c>
      <c r="F8" s="6">
        <f>1280*12</f>
        <v/>
      </c>
      <c r="G8" s="7" t="n"/>
      <c r="H8" s="7" t="n"/>
      <c r="I8" s="7" t="n"/>
      <c r="J8" s="6">
        <f>IFERROR(AVERAGE(G8:I8),"")</f>
        <v/>
      </c>
      <c r="K8" s="6">
        <f>IF(COUNT(G8:I8)=0,"",MIN(G8:I8))</f>
        <v/>
      </c>
      <c r="L8" s="6">
        <f>IF(COUNT(G8:I8)=0,"",MAX(G8:I8))</f>
        <v/>
      </c>
      <c r="M8" s="6">
        <f>IF(J8="","",ROUND(J8,2))</f>
        <v/>
      </c>
      <c r="N8" s="6">
        <f>IF(M8="","",M8*C8)</f>
        <v/>
      </c>
      <c r="O8" s="5" t="inlineStr">
        <is>
          <t>อ้างอิง แผน Basic 1,280 บาท/เดือน</t>
        </is>
      </c>
    </row>
    <row r="9">
      <c r="B9" s="8" t="inlineStr">
        <is>
          <t>รวมเป็นเงิน (ก่อนภาษีมูลค่าเพิ่ม)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10">
        <f>SUM(N5:N8)</f>
        <v/>
      </c>
      <c r="O9" s="9" t="n"/>
    </row>
    <row r="10">
      <c r="B10" s="8" t="inlineStr">
        <is>
          <t>ภาษีมูลค่าเพิ่ม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10">
        <f>N9*ตั้งค่า!B4</f>
        <v/>
      </c>
      <c r="O10" s="9" t="n"/>
    </row>
    <row r="11">
      <c r="B11" s="8" t="inlineStr">
        <is>
          <t>รวมเป็นเงินทั้งสิ้น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0">
        <f>N9+N10</f>
        <v/>
      </c>
      <c r="O11" s="9" t="n"/>
    </row>
    <row r="13">
      <c r="A13" s="11" t="inlineStr">
        <is>
          <t>หมายเหตุ</t>
        </is>
      </c>
    </row>
    <row r="14">
      <c r="A14" s="2" t="inlineStr">
        <is>
          <t>1) ราคาอ้างอิงเบื้องต้นมาจากการค้นเว็บสาธารณะ ยังไม่ผ่านการยืนยัน ใช้เทียบความสมเหตุสมผลของใบเสนอราคาเท่านั้น</t>
        </is>
      </c>
    </row>
    <row r="15">
      <c r="A15" s="2" t="inlineStr">
        <is>
          <t>2) ราคากลางที่เสนอคำนวณจากค่าเฉลี่ยของใบเสนอราคาที่กรอก ให้คณะกรรมการ/ผู้รับผิดชอบพิจารณาเลือกวิธีและลงนามรับรอง</t>
        </is>
      </c>
    </row>
    <row r="16">
      <c r="A16" s="2" t="inlineStr">
        <is>
          <t>3) ต้องกรอกราคาให้ตรงฐานเดียวกัน (รวมหรือไม่รวม VAT) และตรงกับคุณลักษณะเฉพาะตาม TOR ทุกราย</t>
        </is>
      </c>
    </row>
    <row r="17">
      <c r="A17" s="2" t="inlineStr">
        <is>
          <t>4) ตรวจเกณฑ์และแหล่งที่มาของราคากลางกับเจ้าหน้าที่พัสดุของหน่วยงานก่อนใช้งาน</t>
        </is>
      </c>
    </row>
  </sheetData>
  <mergeCells count="3">
    <mergeCell ref="B10:M10"/>
    <mergeCell ref="B9:M9"/>
    <mergeCell ref="B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34" customWidth="1" min="3" max="3"/>
  </cols>
  <sheetData>
    <row r="1">
      <c r="A1" s="1" t="inlineStr">
        <is>
          <t>ตั้งค่าพารามิเตอร์ (ช่องสีเหลือง = กรอกเอง)</t>
        </is>
      </c>
    </row>
    <row r="3">
      <c r="A3" s="12" t="inlineStr">
        <is>
          <t>อัตราแลกเปลี่ยน (บาทต่อ 1 USD) ตามอัตรา ธปท. ณ วันที่กำหนดราคา</t>
        </is>
      </c>
      <c r="B3" s="13" t="n">
        <v>35</v>
      </c>
      <c r="C3" s="12" t="inlineStr">
        <is>
          <t>ค่าสมมติ ต้องแก้เป็นอัตราจริง</t>
        </is>
      </c>
    </row>
    <row r="4">
      <c r="A4" s="12" t="inlineStr">
        <is>
          <t>อัตราภาษีมูลค่าเพิ่ม</t>
        </is>
      </c>
      <c r="B4" s="14" t="n">
        <v>0.07000000000000001</v>
      </c>
      <c r="C4" s="12" t="inlineStr"/>
    </row>
    <row r="5">
      <c r="A5" s="12" t="inlineStr">
        <is>
          <t>วันที่สืบราคา</t>
        </is>
      </c>
      <c r="B5" s="13" t="inlineStr"/>
      <c r="C5" s="12" t="inlineStr">
        <is>
          <t>กรอกวันที่</t>
        </is>
      </c>
    </row>
    <row r="6">
      <c r="A6" s="12" t="inlineStr">
        <is>
          <t>ผู้สืบราคา</t>
        </is>
      </c>
      <c r="B6" s="13" t="inlineStr"/>
      <c r="C6" s="12" t="inlineStr">
        <is>
          <t>ชื่อ-ตำแหน่ง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18" customWidth="1" min="4" max="4"/>
    <col width="26" customWidth="1" min="5" max="5"/>
    <col width="14" customWidth="1" min="6" max="6"/>
    <col width="30" customWidth="1" min="7" max="7"/>
  </cols>
  <sheetData>
    <row r="1">
      <c r="A1" s="1" t="inlineStr">
        <is>
          <t>รายชื่อผู้ประกอบการที่สืบราคา (อย่างน้อย 3 ราย)</t>
        </is>
      </c>
    </row>
    <row r="3">
      <c r="A3" s="3" t="inlineStr">
        <is>
          <t>ลำดับ</t>
        </is>
      </c>
      <c r="B3" s="3" t="inlineStr">
        <is>
          <t>ชื่อบริษัท/ร้านค้า</t>
        </is>
      </c>
      <c r="C3" s="3" t="inlineStr">
        <is>
          <t>เลขที่ใบเสนอราคา</t>
        </is>
      </c>
      <c r="D3" s="3" t="inlineStr">
        <is>
          <t>วันที่เสนอราคา</t>
        </is>
      </c>
      <c r="E3" s="3" t="inlineStr">
        <is>
          <t>ผู้ติดต่อ/โทรศัพท์</t>
        </is>
      </c>
      <c r="F3" s="3" t="inlineStr">
        <is>
          <t>ยืนราคา (วัน)</t>
        </is>
      </c>
      <c r="G3" s="3" t="inlineStr">
        <is>
          <t>หมายเหตุ</t>
        </is>
      </c>
    </row>
    <row r="4">
      <c r="A4" s="15" t="n">
        <v>1</v>
      </c>
      <c r="B4" s="16" t="n"/>
      <c r="C4" s="16" t="n"/>
      <c r="D4" s="16" t="n"/>
      <c r="E4" s="16" t="n"/>
      <c r="F4" s="16" t="n"/>
      <c r="G4" s="16" t="n"/>
    </row>
    <row r="5">
      <c r="A5" s="15" t="n">
        <v>2</v>
      </c>
      <c r="B5" s="16" t="n"/>
      <c r="C5" s="16" t="n"/>
      <c r="D5" s="16" t="n"/>
      <c r="E5" s="16" t="n"/>
      <c r="F5" s="16" t="n"/>
      <c r="G5" s="16" t="n"/>
    </row>
    <row r="6">
      <c r="A6" s="15" t="n">
        <v>3</v>
      </c>
      <c r="B6" s="16" t="n"/>
      <c r="C6" s="16" t="n"/>
      <c r="D6" s="16" t="n"/>
      <c r="E6" s="16" t="n"/>
      <c r="F6" s="16" t="n"/>
      <c r="G6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2026-10-07T13:09:37Z</dcterms:created>
  <dcterms:modified xmlns:dcterms="http://purl.org/dc/terms/" xmlns:xsi="http://www.w3.org/2001/XMLSchema-instance" xsi:type="dcterms:W3CDTF">2026-10-07T13:09:37Z</dcterms:modified>
</cp:coreProperties>
</file>